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D:\Special Topic\"/>
    </mc:Choice>
  </mc:AlternateContent>
  <xr:revisionPtr revIDLastSave="0" documentId="13_ncr:1_{8E82B164-2BFD-4162-8D37-4E5068F26F96}" xr6:coauthVersionLast="47" xr6:coauthVersionMax="47" xr10:uidLastSave="{00000000-0000-0000-0000-000000000000}"/>
  <bookViews>
    <workbookView xWindow="-120" yWindow="72" windowWidth="12360" windowHeight="12240" xr2:uid="{00000000-000D-0000-FFFF-FFFF00000000}"/>
  </bookViews>
  <sheets>
    <sheet name="EIS" sheetId="1" r:id="rId1"/>
    <sheet name="Course_Index" sheetId="2" r:id="rId2"/>
    <sheet name="CI_Explanation" sheetId="3" r:id="rId3"/>
    <sheet name="Example_SHPP 2102" sheetId="4"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r8NV7CytDdowuRbiln3zmUlshTA4IJgsAFIthBqF8Vw="/>
    </ext>
  </extLst>
</workbook>
</file>

<file path=xl/calcChain.xml><?xml version="1.0" encoding="utf-8"?>
<calcChain xmlns="http://schemas.openxmlformats.org/spreadsheetml/2006/main">
  <c r="W71" i="1" l="1"/>
  <c r="S77" i="1"/>
  <c r="S67" i="1"/>
  <c r="Q87" i="4"/>
  <c r="Q86" i="4"/>
  <c r="Q85" i="4"/>
  <c r="Q83" i="4"/>
  <c r="Q82" i="4"/>
  <c r="S80" i="4"/>
  <c r="S78" i="4"/>
  <c r="S77" i="4"/>
  <c r="S76" i="4"/>
  <c r="S75" i="4"/>
  <c r="S74" i="4"/>
  <c r="S79" i="4" s="1"/>
  <c r="S81" i="4" s="1"/>
  <c r="Q84" i="4" s="1"/>
  <c r="S67" i="4"/>
  <c r="S66" i="4"/>
  <c r="S65" i="4"/>
  <c r="S64" i="4"/>
  <c r="S63" i="4"/>
  <c r="S68" i="4" s="1"/>
  <c r="S57" i="4"/>
  <c r="S56" i="4"/>
  <c r="S55" i="4"/>
  <c r="S54" i="4"/>
  <c r="S53" i="4"/>
  <c r="S52" i="4"/>
  <c r="S51" i="4"/>
  <c r="S50" i="4"/>
  <c r="S49" i="4"/>
  <c r="S48" i="4"/>
  <c r="S47" i="4"/>
  <c r="S46" i="4"/>
  <c r="S58" i="4" s="1"/>
  <c r="S45" i="4"/>
  <c r="S44" i="4"/>
  <c r="S43" i="4"/>
  <c r="Q87" i="3"/>
  <c r="Q86" i="3"/>
  <c r="Q85" i="3"/>
  <c r="Q83" i="3"/>
  <c r="Q82" i="3"/>
  <c r="S79" i="3"/>
  <c r="S78" i="3"/>
  <c r="S77" i="3"/>
  <c r="S76" i="3"/>
  <c r="S75" i="3"/>
  <c r="S74" i="3"/>
  <c r="S67" i="3"/>
  <c r="S66" i="3"/>
  <c r="S65" i="3"/>
  <c r="S64" i="3"/>
  <c r="S63" i="3"/>
  <c r="S80" i="3" s="1"/>
  <c r="S57" i="3"/>
  <c r="S56" i="3"/>
  <c r="S55" i="3"/>
  <c r="S54" i="3"/>
  <c r="S53" i="3"/>
  <c r="S52" i="3"/>
  <c r="S51" i="3"/>
  <c r="S50" i="3"/>
  <c r="S49" i="3"/>
  <c r="S48" i="3"/>
  <c r="S47" i="3"/>
  <c r="S46" i="3"/>
  <c r="S58" i="3" s="1"/>
  <c r="S45" i="3"/>
  <c r="S44" i="3"/>
  <c r="S43" i="3"/>
  <c r="Q85" i="1"/>
  <c r="Q84" i="1"/>
  <c r="Q81" i="1"/>
  <c r="Q80" i="1"/>
  <c r="S69" i="1"/>
  <c r="S68" i="1"/>
  <c r="S66" i="1"/>
  <c r="S65" i="1"/>
  <c r="S64" i="1"/>
  <c r="S57" i="1"/>
  <c r="S56" i="1"/>
  <c r="S55" i="1"/>
  <c r="S54" i="1"/>
  <c r="S53" i="1"/>
  <c r="S52" i="1"/>
  <c r="S51" i="1"/>
  <c r="S50" i="1"/>
  <c r="S49" i="1"/>
  <c r="S48" i="1"/>
  <c r="S47" i="1"/>
  <c r="S46" i="1"/>
  <c r="S45" i="1"/>
  <c r="S44" i="1"/>
  <c r="S43" i="1"/>
  <c r="S78" i="1" l="1"/>
  <c r="S70" i="1"/>
  <c r="Q83" i="1"/>
  <c r="S59" i="1"/>
  <c r="S68" i="3"/>
  <c r="S81" i="3" s="1"/>
  <c r="Q84" i="3" s="1"/>
  <c r="S79" i="1" l="1"/>
  <c r="Q82" i="1" s="1"/>
</calcChain>
</file>

<file path=xl/sharedStrings.xml><?xml version="1.0" encoding="utf-8"?>
<sst xmlns="http://schemas.openxmlformats.org/spreadsheetml/2006/main" count="510" uniqueCount="277">
  <si>
    <t>COURSE INFORMATION</t>
  </si>
  <si>
    <t>School/Faculty:</t>
  </si>
  <si>
    <t>Program name:</t>
  </si>
  <si>
    <t>Bachelor of Computer Science (Data Engineering ) with Honors</t>
  </si>
  <si>
    <t>Course code:</t>
  </si>
  <si>
    <t xml:space="preserve">Academic Session/Semester:   </t>
  </si>
  <si>
    <t>Course name:</t>
  </si>
  <si>
    <t>Special Topic in Data Engineering</t>
  </si>
  <si>
    <t>Pre/co requisite (course name and code, if applicable):</t>
  </si>
  <si>
    <t>Credit hours:</t>
  </si>
  <si>
    <t>Course synopsis</t>
  </si>
  <si>
    <t>Course coordinator (if applicable)</t>
  </si>
  <si>
    <t>Course lecturer(s)</t>
  </si>
  <si>
    <t>Name</t>
  </si>
  <si>
    <t>Office</t>
  </si>
  <si>
    <t>Contact no.</t>
  </si>
  <si>
    <t>E-mail</t>
  </si>
  <si>
    <t>Mapping of the Course Learning Outcomes (CLO) to the Programme Learning Outcomes (PLO), Teaching &amp; Learning (T&amp;L) methods and Assessment methods:</t>
  </si>
  <si>
    <t>No.</t>
  </si>
  <si>
    <t>CLO*</t>
  </si>
  <si>
    <t xml:space="preserve">PLO 
</t>
  </si>
  <si>
    <t xml:space="preserve">**Taxonomies
and
***generic skills
</t>
  </si>
  <si>
    <t>T&amp;L methods</t>
  </si>
  <si>
    <t>****Assessment methods</t>
  </si>
  <si>
    <t>CLO1</t>
  </si>
  <si>
    <t>CLO2</t>
  </si>
  <si>
    <t>A</t>
  </si>
  <si>
    <t>CLO3</t>
  </si>
  <si>
    <t>PLO5 (C3C)</t>
  </si>
  <si>
    <t>CLO4</t>
  </si>
  <si>
    <r>
      <rPr>
        <b/>
        <sz val="9"/>
        <color rgb="FF1F1F1F"/>
        <rFont val="Calibri"/>
      </rPr>
      <t xml:space="preserve">**MQF Cluster Code
</t>
    </r>
    <r>
      <rPr>
        <sz val="9"/>
        <color rgb="FF1F1F1F"/>
        <rFont val="Calibri"/>
      </rPr>
      <t xml:space="preserve"> C1 = Knowledge &amp; Understanding, C2 = Cognitive Skills, C3A = Practical Skills, C3B = Interpersonal Skills, C3C= Communication Skills, C3D = Digital Skills, C3E = Numeracy Skills, C3F = Leadership, Autonomy &amp; Responsibility, C4A = Personal Skills, C4B = Enterpreneurial Skills, C5 = Ethics &amp; Professionalism</t>
    </r>
  </si>
  <si>
    <t>Details on Innovative T&amp;L practices:</t>
  </si>
  <si>
    <t>Type</t>
  </si>
  <si>
    <t>Implementation</t>
  </si>
  <si>
    <t xml:space="preserve">Work Based Learning (WBL) </t>
  </si>
  <si>
    <t>Educational experiences that combines classroom learning with practical, hands-on experience, allowing students to apply academic skills and knowledge in a professional setting. Work-based learning include industrial lecture, industrial visit, and project-based learning with industry partners.</t>
  </si>
  <si>
    <t>Transferable skills (generic skills learning in course of study which can be useful and utilised in other settings) :</t>
  </si>
  <si>
    <t>Student learning time (SLT) / Effective Learning Time (ELT) details:</t>
  </si>
  <si>
    <t>Week/  Meeting</t>
  </si>
  <si>
    <t>Course Content Outline and Subtopics</t>
  </si>
  <si>
    <t>Learning and Teaching Activities</t>
  </si>
  <si>
    <t xml:space="preserve">TOTAL
ELT
</t>
  </si>
  <si>
    <t>Face-to-Face (F2F)</t>
  </si>
  <si>
    <t>Non F2F Independent Learning</t>
  </si>
  <si>
    <t>Physical</t>
  </si>
  <si>
    <t>Online (Synchronous)</t>
  </si>
  <si>
    <t>Online (Asynchronous)</t>
  </si>
  <si>
    <t>Others</t>
  </si>
  <si>
    <t>L</t>
  </si>
  <si>
    <t>T</t>
  </si>
  <si>
    <t>P</t>
  </si>
  <si>
    <t>O</t>
  </si>
  <si>
    <t>Week 1</t>
  </si>
  <si>
    <t>Week 2</t>
  </si>
  <si>
    <t>Week 4</t>
  </si>
  <si>
    <t>Week 5</t>
  </si>
  <si>
    <t>Week 6</t>
  </si>
  <si>
    <t>Week 7</t>
  </si>
  <si>
    <t>Week 8</t>
  </si>
  <si>
    <t xml:space="preserve">MID-SEMESTER BREAK </t>
  </si>
  <si>
    <t>Week 9</t>
  </si>
  <si>
    <t>Week 10</t>
  </si>
  <si>
    <t>Week 11</t>
  </si>
  <si>
    <t>Week 12</t>
  </si>
  <si>
    <t>Week 13</t>
  </si>
  <si>
    <t>Week 14</t>
  </si>
  <si>
    <t>Week 15</t>
  </si>
  <si>
    <t>SUB-TOTAL ELT :</t>
  </si>
  <si>
    <t xml:space="preserve">Continous Assessment </t>
  </si>
  <si>
    <t>%</t>
  </si>
  <si>
    <t xml:space="preserve">NF2F
Independent Learning for Assessment </t>
  </si>
  <si>
    <t>TOTAL SLT</t>
  </si>
  <si>
    <t>Online 
(Synchronous)</t>
  </si>
  <si>
    <t>SUB-TOTAL SLT :</t>
  </si>
  <si>
    <t xml:space="preserve">Summative Assessment </t>
  </si>
  <si>
    <t xml:space="preserve">NF2F
Independent Learning for Assessment 
</t>
  </si>
  <si>
    <t>SLT for Assessment:</t>
  </si>
  <si>
    <t>GRAND TOTAL SLT:</t>
  </si>
  <si>
    <r>
      <rPr>
        <sz val="11"/>
        <color theme="1"/>
        <rFont val="Calibri"/>
      </rPr>
      <t xml:space="preserve">% SLT for F2F Physical Component
</t>
    </r>
    <r>
      <rPr>
        <sz val="11"/>
        <color rgb="FF2E75B5"/>
        <rFont val="Calibri"/>
      </rPr>
      <t xml:space="preserve">[(Total F2F Physical)/(Total F2F Physical + </t>
    </r>
    <r>
      <rPr>
        <sz val="11"/>
        <color rgb="FF00B050"/>
        <rFont val="Calibri"/>
      </rPr>
      <t>Total F2F Online</t>
    </r>
    <r>
      <rPr>
        <sz val="11"/>
        <color rgb="FF2E75B5"/>
        <rFont val="Calibri"/>
      </rPr>
      <t xml:space="preserve"> + </t>
    </r>
    <r>
      <rPr>
        <sz val="11"/>
        <color rgb="FF7030A0"/>
        <rFont val="Calibri"/>
      </rPr>
      <t>Total Independent Learning</t>
    </r>
    <r>
      <rPr>
        <sz val="11"/>
        <color rgb="FF2E75B5"/>
        <rFont val="Calibri"/>
      </rPr>
      <t>) x 100)]</t>
    </r>
  </si>
  <si>
    <t>B</t>
  </si>
  <si>
    <r>
      <rPr>
        <sz val="11"/>
        <color theme="1"/>
        <rFont val="Calibri"/>
      </rPr>
      <t xml:space="preserve">% SLT for Online &amp; Independent Learning Component :
</t>
    </r>
    <r>
      <rPr>
        <sz val="11"/>
        <color rgb="FF2E75B5"/>
        <rFont val="Calibri"/>
      </rPr>
      <t>[(</t>
    </r>
    <r>
      <rPr>
        <sz val="11"/>
        <color rgb="FF00B050"/>
        <rFont val="Calibri"/>
      </rPr>
      <t>Total F2F Online</t>
    </r>
    <r>
      <rPr>
        <sz val="11"/>
        <color rgb="FF2E75B5"/>
        <rFont val="Calibri"/>
      </rPr>
      <t>+</t>
    </r>
    <r>
      <rPr>
        <sz val="11"/>
        <color rgb="FF7030A0"/>
        <rFont val="Calibri"/>
      </rPr>
      <t>Total Independent Learning</t>
    </r>
    <r>
      <rPr>
        <sz val="11"/>
        <color rgb="FF2E75B5"/>
        <rFont val="Calibri"/>
      </rPr>
      <t>)/(Total F2F Physical+Total F2F Online+ Total Independent Learning) x 100]</t>
    </r>
  </si>
  <si>
    <t>C</t>
  </si>
  <si>
    <r>
      <rPr>
        <sz val="11"/>
        <color theme="1"/>
        <rFont val="Calibri"/>
      </rPr>
      <t>%SLT for Online Component:                                                      [(</t>
    </r>
    <r>
      <rPr>
        <sz val="11"/>
        <color rgb="FF00B050"/>
        <rFont val="Calibri"/>
      </rPr>
      <t>Total F2F Online</t>
    </r>
    <r>
      <rPr>
        <sz val="11"/>
        <color theme="1"/>
        <rFont val="Calibri"/>
      </rPr>
      <t>+Total Online NF2F Independent Learning )/(Total F2F Physical+Total F2F Online+ Total Independent Learning) x 100]</t>
    </r>
  </si>
  <si>
    <t>D</t>
  </si>
  <si>
    <r>
      <rPr>
        <sz val="11"/>
        <color theme="1"/>
        <rFont val="Calibri"/>
      </rPr>
      <t xml:space="preserve">% SLT for All Practical Component
</t>
    </r>
    <r>
      <rPr>
        <sz val="11"/>
        <color rgb="FF2E75B5"/>
        <rFont val="Calibri"/>
      </rPr>
      <t>[% F2F Physical Practical + % F2F Online Practical]</t>
    </r>
  </si>
  <si>
    <t>D1</t>
  </si>
  <si>
    <r>
      <rPr>
        <sz val="11"/>
        <color theme="1"/>
        <rFont val="Calibri"/>
      </rPr>
      <t xml:space="preserve">% SLT for F2F Physical Practical Component
</t>
    </r>
    <r>
      <rPr>
        <sz val="11"/>
        <color rgb="FF2E75B5"/>
        <rFont val="Calibri"/>
      </rPr>
      <t>[(TotalF2F Physical Practical/(Total F2F Physical+ Total F2F Online+Total Independent Learning) x100)]</t>
    </r>
  </si>
  <si>
    <t>D2</t>
  </si>
  <si>
    <r>
      <rPr>
        <sz val="11"/>
        <color theme="1"/>
        <rFont val="Calibri"/>
      </rPr>
      <t>% SLT for F2F Online Practical Component</t>
    </r>
    <r>
      <rPr>
        <sz val="11"/>
        <color rgb="FF2E75B5"/>
        <rFont val="Calibri"/>
      </rPr>
      <t xml:space="preserve">                    [Total F2F Online Practical/(Total F2F Physical + Total F2F Online + Total Independent Learning) x 100]</t>
    </r>
  </si>
  <si>
    <t>Please tick (/)if this course Industrial Training/ Clinical Placement/ Practicum using 50% of Effective Learning Time (ELT)
Note :
** For ODL Programme : Courses with mandatory practical requirement imposesd by programme standards or any related standards can be ecempted from complying to the minimum 80% ODL delivery rule inthe SLT.</t>
  </si>
  <si>
    <t>Identify special requirement or resources to deliver the course (e.g. software, nursery, computer lab, simulation room etc)</t>
  </si>
  <si>
    <t>References (include required and further readings, and should be the most current)</t>
  </si>
  <si>
    <t>Other additional information (if applicable)</t>
  </si>
  <si>
    <r>
      <rPr>
        <b/>
        <sz val="10"/>
        <color theme="1"/>
        <rFont val="Calibri"/>
      </rPr>
      <t xml:space="preserve">Academic honesty and plagiarism: </t>
    </r>
    <r>
      <rPr>
        <i/>
        <sz val="10"/>
        <color theme="1"/>
        <rFont val="Calibri"/>
      </rPr>
      <t>(Below is just a sample)</t>
    </r>
  </si>
  <si>
    <t>Assignments are individual tasks and NOT group activities (UNLESS EXPLICITLY INDICATED AS GROUP ACTIVITIES). 
Copying of works (texts, lab results, etc.) from other students/groups or from other sources is not allowed. Brief quotations (texts in quotes) are allowed with the sources indicated. Existing texts should be paraphrased with your own words to explain what you understand. It is not acceptable to retype existing texts and just acknowledge the source as a reference. Students who submit copied work will obtain zero for the assignment and exams and disciplinary steps may be taken by the faculty.  It is also unacceptable to do somebody else’s work, to lend your work to them or to make your work available to them to copy.</t>
  </si>
  <si>
    <t>1.	Attendance/participation is compulsory and will be taken during every lecture and meeting session. Students with less than 80% of total participation will be barred from presenting their project.
2.	Students are required to behave and follow the dressing regulation and etiquette which has been stated in the University ruling while in class, in lab, and in exam hall*. 
3.	Any form of plagiarism is NOT ALLOWED. Students who are caught cheating for copying other students’ assignments/lab exercises will get zero mark. 
4.	Exercises will be given in class and some may be taken for assessment. Students who do not take the exercise will lose the marks for the exercise. 
5.	Students who are absent will not be allowed to conduct the project demo and present the final assessments, except to those who are sick and submit medical certificates which are confirmed by UTM panel doctors. Make up demo can only be given within one week from the initial date of demo.  
6.	Iterative demo must be shown on the due dates. Some points will be deducted for the late demo only with lecturers’ permission and accepted justification.
*Note: This course has no final exam and classes are conduced hybrid as approved by the faculty/university until further notice</t>
  </si>
  <si>
    <t>Disclaimer:</t>
  </si>
  <si>
    <t xml:space="preserve">All teaching and learning materials associated with this course are for personal use only. The materials are intended for educational purposes only. Reproduction of the materials in any form for any purposes other than what it is intended for is prohibited. 
While every effort has been made to ensure the accuracy of the information supplied herein, Universiti Teknologi Malaysia cannot be held responsible for any errors or omissions. </t>
  </si>
  <si>
    <t>ELT = (Theory + Industrial Guidance + Assessment) x 50%</t>
  </si>
  <si>
    <t>Jumlah Kredit bagi LI/Praktikum = ELT/40 Notional Hours</t>
  </si>
  <si>
    <t>CI_Template</t>
  </si>
  <si>
    <t>Course_Index</t>
  </si>
  <si>
    <t>Course Name</t>
  </si>
  <si>
    <t>%SLT Online</t>
  </si>
  <si>
    <t>Status Pembelajaran
Teradun Gantian, PTG (if %SLT Online = 26% - 35%,
then the course is PTG)</t>
  </si>
  <si>
    <t>CI_Explanation</t>
  </si>
  <si>
    <t>Description of CI</t>
  </si>
  <si>
    <t>Example_SHPP 2102</t>
  </si>
  <si>
    <t>Programming Language I</t>
  </si>
  <si>
    <t>This is the basic mapping required for the CI. Any added information is allowed (extra columns for weight or other elements) provided this is made consistent for all CI at program/school/faculty level. 
*Up to 5 CLO
Refer **Taxonomies of Learning and ***UTM’s Graduate Attributes for UG and Generic Skills for PG, where applicable for measurement of outcomes achievement
****T – Test; Q – Quiz; HW – Homework; Asg – Assignment; PR – Project; Pr – Presentation; F – Final Exam etc.</t>
  </si>
  <si>
    <r>
      <rPr>
        <b/>
        <sz val="11"/>
        <color theme="1"/>
        <rFont val="Calibri"/>
      </rPr>
      <t xml:space="preserve">Indicate the primary causal link between the CLO and PLO by ticking '√' in the appropriate box.
</t>
    </r>
    <r>
      <rPr>
        <b/>
        <sz val="11"/>
        <color theme="1"/>
        <rFont val="Calibri"/>
      </rPr>
      <t>C1</t>
    </r>
    <r>
      <rPr>
        <sz val="11"/>
        <color theme="1"/>
        <rFont val="Calibri"/>
      </rPr>
      <t xml:space="preserve"> = Knowledge &amp; Understanding, </t>
    </r>
    <r>
      <rPr>
        <b/>
        <sz val="11"/>
        <color theme="1"/>
        <rFont val="Calibri"/>
      </rPr>
      <t>C2</t>
    </r>
    <r>
      <rPr>
        <sz val="11"/>
        <color theme="1"/>
        <rFont val="Calibri"/>
      </rPr>
      <t xml:space="preserve"> = Cognitive Skills, </t>
    </r>
    <r>
      <rPr>
        <b/>
        <sz val="11"/>
        <color theme="1"/>
        <rFont val="Calibri"/>
      </rPr>
      <t>C3A</t>
    </r>
    <r>
      <rPr>
        <sz val="11"/>
        <color theme="1"/>
        <rFont val="Calibri"/>
      </rPr>
      <t xml:space="preserve"> = Interpersonal Skills, </t>
    </r>
    <r>
      <rPr>
        <b/>
        <sz val="11"/>
        <color theme="1"/>
        <rFont val="Calibri"/>
      </rPr>
      <t>C3B</t>
    </r>
    <r>
      <rPr>
        <sz val="11"/>
        <color theme="1"/>
        <rFont val="Calibri"/>
      </rPr>
      <t xml:space="preserve"> = Interpersonal Skills, </t>
    </r>
    <r>
      <rPr>
        <b/>
        <sz val="11"/>
        <color theme="1"/>
        <rFont val="Calibri"/>
      </rPr>
      <t>C3C</t>
    </r>
    <r>
      <rPr>
        <sz val="11"/>
        <color theme="1"/>
        <rFont val="Calibri"/>
      </rPr>
      <t xml:space="preserve">= Communication Skills, </t>
    </r>
    <r>
      <rPr>
        <b/>
        <sz val="11"/>
        <color theme="1"/>
        <rFont val="Calibri"/>
      </rPr>
      <t>C3D</t>
    </r>
    <r>
      <rPr>
        <sz val="11"/>
        <color theme="1"/>
        <rFont val="Calibri"/>
      </rPr>
      <t xml:space="preserve"> = Digital Skills, </t>
    </r>
    <r>
      <rPr>
        <b/>
        <sz val="11"/>
        <color theme="1"/>
        <rFont val="Calibri"/>
      </rPr>
      <t>C3E</t>
    </r>
    <r>
      <rPr>
        <sz val="11"/>
        <color theme="1"/>
        <rFont val="Calibri"/>
      </rPr>
      <t xml:space="preserve"> = Numercy Skills, </t>
    </r>
    <r>
      <rPr>
        <b/>
        <sz val="11"/>
        <color theme="1"/>
        <rFont val="Calibri"/>
      </rPr>
      <t>C3F</t>
    </r>
    <r>
      <rPr>
        <sz val="11"/>
        <color theme="1"/>
        <rFont val="Calibri"/>
      </rPr>
      <t xml:space="preserve"> = Leadership, Autonomy &amp; Responsibility, </t>
    </r>
    <r>
      <rPr>
        <b/>
        <sz val="11"/>
        <color theme="1"/>
        <rFont val="Calibri"/>
      </rPr>
      <t>C4A</t>
    </r>
    <r>
      <rPr>
        <sz val="11"/>
        <color theme="1"/>
        <rFont val="Calibri"/>
      </rPr>
      <t xml:space="preserve"> = Personal Skills, </t>
    </r>
    <r>
      <rPr>
        <b/>
        <sz val="11"/>
        <color theme="1"/>
        <rFont val="Calibri"/>
      </rPr>
      <t>C4B</t>
    </r>
    <r>
      <rPr>
        <sz val="11"/>
        <color theme="1"/>
        <rFont val="Calibri"/>
      </rPr>
      <t xml:space="preserve"> = Enterpreneurial Skills, </t>
    </r>
    <r>
      <rPr>
        <b/>
        <sz val="11"/>
        <color theme="1"/>
        <rFont val="Calibri"/>
      </rPr>
      <t>C5</t>
    </r>
    <r>
      <rPr>
        <sz val="11"/>
        <color theme="1"/>
        <rFont val="Calibri"/>
      </rPr>
      <t xml:space="preserve"> = Ethics &amp; Professionalism</t>
    </r>
  </si>
  <si>
    <t xml:space="preserve">TOTAL
SLT
</t>
  </si>
  <si>
    <t>Week 3</t>
  </si>
  <si>
    <t>Quiz 1</t>
  </si>
  <si>
    <t>Assignment 1</t>
  </si>
  <si>
    <t>Assignment 2</t>
  </si>
  <si>
    <t>Final Exam</t>
  </si>
  <si>
    <r>
      <rPr>
        <sz val="11"/>
        <color theme="1"/>
        <rFont val="Calibri"/>
      </rPr>
      <t xml:space="preserve">% SLT for F2F Physical Component
</t>
    </r>
    <r>
      <rPr>
        <sz val="11"/>
        <color rgb="FF2E75B5"/>
        <rFont val="Calibri"/>
      </rPr>
      <t xml:space="preserve">[(Total F2F Physical)/(Total F2F Physical + </t>
    </r>
    <r>
      <rPr>
        <sz val="11"/>
        <color rgb="FF00B050"/>
        <rFont val="Calibri"/>
      </rPr>
      <t>Total F2F Online</t>
    </r>
    <r>
      <rPr>
        <sz val="11"/>
        <color rgb="FF2E75B5"/>
        <rFont val="Calibri"/>
      </rPr>
      <t xml:space="preserve"> + </t>
    </r>
    <r>
      <rPr>
        <sz val="11"/>
        <color rgb="FF7030A0"/>
        <rFont val="Calibri"/>
      </rPr>
      <t>Total Independent Learning</t>
    </r>
    <r>
      <rPr>
        <sz val="11"/>
        <color rgb="FF2E75B5"/>
        <rFont val="Calibri"/>
      </rPr>
      <t>) x 100)]</t>
    </r>
  </si>
  <si>
    <r>
      <rPr>
        <sz val="11"/>
        <color theme="1"/>
        <rFont val="Calibri"/>
      </rPr>
      <t xml:space="preserve">% SLT for Online &amp; Independent Learning Component :
</t>
    </r>
    <r>
      <rPr>
        <sz val="11"/>
        <color rgb="FF2E75B5"/>
        <rFont val="Calibri"/>
      </rPr>
      <t>[(</t>
    </r>
    <r>
      <rPr>
        <sz val="11"/>
        <color rgb="FF00B050"/>
        <rFont val="Calibri"/>
      </rPr>
      <t>Total F2F Online</t>
    </r>
    <r>
      <rPr>
        <sz val="11"/>
        <color rgb="FF2E75B5"/>
        <rFont val="Calibri"/>
      </rPr>
      <t>+</t>
    </r>
    <r>
      <rPr>
        <sz val="11"/>
        <color rgb="FF7030A0"/>
        <rFont val="Calibri"/>
      </rPr>
      <t>Total Independent Learning</t>
    </r>
    <r>
      <rPr>
        <sz val="11"/>
        <color rgb="FF2E75B5"/>
        <rFont val="Calibri"/>
      </rPr>
      <t>)/(Total F2F Physical+Total F2F Online+ Total Independent Learning) x 100]</t>
    </r>
  </si>
  <si>
    <r>
      <rPr>
        <sz val="11"/>
        <color theme="1"/>
        <rFont val="Calibri"/>
      </rPr>
      <t>%SLT for Online Component:                                                      [(</t>
    </r>
    <r>
      <rPr>
        <sz val="11"/>
        <color rgb="FF00B050"/>
        <rFont val="Calibri"/>
      </rPr>
      <t>Total F2F Online</t>
    </r>
    <r>
      <rPr>
        <sz val="11"/>
        <color theme="1"/>
        <rFont val="Calibri"/>
      </rPr>
      <t>+Total Online NF2F Independent Learning )/(Total F2F Physical+Total F2F Online+ Total Independent Learning) x 100]</t>
    </r>
  </si>
  <si>
    <r>
      <rPr>
        <sz val="11"/>
        <color theme="1"/>
        <rFont val="Calibri"/>
      </rPr>
      <t xml:space="preserve">% SLT for All Practical Component
</t>
    </r>
    <r>
      <rPr>
        <sz val="11"/>
        <color rgb="FF2E75B5"/>
        <rFont val="Calibri"/>
      </rPr>
      <t>[% F2F Physical Practical + % F2F Online Practical]</t>
    </r>
  </si>
  <si>
    <r>
      <rPr>
        <sz val="11"/>
        <color theme="1"/>
        <rFont val="Calibri"/>
      </rPr>
      <t xml:space="preserve">% SLT for F2F Physical Practical Component
</t>
    </r>
    <r>
      <rPr>
        <sz val="11"/>
        <color rgb="FF2E75B5"/>
        <rFont val="Calibri"/>
      </rPr>
      <t>[(TotalF2F Physical Practical/(Total F2F Physical+ Total F2F Online+Total Independent Learning) x100)]</t>
    </r>
  </si>
  <si>
    <r>
      <rPr>
        <sz val="11"/>
        <color theme="1"/>
        <rFont val="Calibri"/>
      </rPr>
      <t>% SLT for F2F Online Practical Component</t>
    </r>
    <r>
      <rPr>
        <sz val="11"/>
        <color rgb="FF2E75B5"/>
        <rFont val="Calibri"/>
      </rPr>
      <t xml:space="preserve">                    [Total F2F Online Practical/(Total F2F Physical + Total F2F Online + Total Independent Learning) x 100]</t>
    </r>
  </si>
  <si>
    <t>Identify special requirement or resources to deliver the course (e.g.,software,nursery, computer lab, simulation room etc)</t>
  </si>
  <si>
    <r>
      <rPr>
        <b/>
        <sz val="10"/>
        <color theme="1"/>
        <rFont val="Calibri"/>
      </rPr>
      <t xml:space="preserve">Academic honesty and plagiarism: </t>
    </r>
    <r>
      <rPr>
        <i/>
        <sz val="10"/>
        <color theme="1"/>
        <rFont val="Calibri"/>
      </rPr>
      <t>(Below is just a sample)</t>
    </r>
  </si>
  <si>
    <t>Assignments are individual tasks and NOT group activities (UNLESS EXPLICITLY INDICATED AS GROUP ACTIVITIES) 
Copying of work (texts, simulation results etc.) from other students/groups or from other sources is not allowed. Brief quotations are allowed and then only if indicated as such. Existing texts should be reformulated with your own words used to explain what you have read. It is not acceptable to retype existing texts and just acknowledge the source as a reference. Be warned: students who submit copied work will obtain a mark of zero for the assignment and disciplinary steps may be taken by the Faculty.  It is also unacceptable to do somebody else’s work, to lend your work to them or to make your work available to them to copy.</t>
  </si>
  <si>
    <t>Back To CI_Template</t>
  </si>
  <si>
    <t>School of Education, Faculty of Social Sciences and Humanities</t>
  </si>
  <si>
    <t>Bachelor of (..)</t>
  </si>
  <si>
    <t>SHPP 2102</t>
  </si>
  <si>
    <t>2022/23</t>
  </si>
  <si>
    <t>None</t>
  </si>
  <si>
    <t>This course introduces students to basic programming language and problem solving technique. At the beginning of the course, students will be exposed to programming terminologies, followed by phases of programming development and programming concepts (such as compiling, translating and editing). This course will provide practice in designing program using design tools (pseudo and flowchart). Several ways of solving problems will also be discussed. Advanced programming concepts (include selection, looping, function and array) will be explained using high level programming syntax. At the end of the course, student should be able to apply the knowledge and skill by developing program using selected programming software.</t>
  </si>
  <si>
    <t>AP Dr Nurbiha A Shukor</t>
  </si>
  <si>
    <t>Nurbiha A Shukor</t>
  </si>
  <si>
    <t>nurbiha@utm.my</t>
  </si>
  <si>
    <t>Asses basic computer problem and correct errors in computer programing code using the basics concept of programming</t>
  </si>
  <si>
    <t>PLO1 (KW)</t>
  </si>
  <si>
    <t>C5</t>
  </si>
  <si>
    <t>Project Group (Product), Class Activity</t>
  </si>
  <si>
    <t>Design a solution to a computer-related problem using design tools (flowcharts and pseudo-code).</t>
  </si>
  <si>
    <t>PLO6 (DS)</t>
  </si>
  <si>
    <t>P4</t>
  </si>
  <si>
    <t>Hands-on computer programming activity, active learning</t>
  </si>
  <si>
    <t>Project Group (Report)</t>
  </si>
  <si>
    <t xml:space="preserve">Build a small computer program using the fundamental of programming technique such as variable and basic operators, selection and looping, functions and array. </t>
  </si>
  <si>
    <t>PLO2 (CG)</t>
  </si>
  <si>
    <t>C6</t>
  </si>
  <si>
    <t>Lecture, Demonstration, active learning, Hands-on computer programming activity</t>
  </si>
  <si>
    <t>Mini Project (Block Programming)</t>
  </si>
  <si>
    <t>Perform as a team member to build a small application of a computer program.</t>
  </si>
  <si>
    <t>PLO4 (IPS)</t>
  </si>
  <si>
    <t>A4, TW2</t>
  </si>
  <si>
    <t>Group Project</t>
  </si>
  <si>
    <t>CLO5</t>
  </si>
  <si>
    <t>Produce an interactive mini application using block-based programming language.</t>
  </si>
  <si>
    <t>P7</t>
  </si>
  <si>
    <t>Active Learning</t>
  </si>
  <si>
    <t>Conducted through in-class activities</t>
  </si>
  <si>
    <t>Mini Project</t>
  </si>
  <si>
    <t xml:space="preserve">Students in a group of 3 are given a project to design and implement the innovative learning environment by integrating theory and appropriate tools to selected focus group. They also need to evaluate the implementation of the project. </t>
  </si>
  <si>
    <t>Skill in design and developing a simple program for day-to-day problem solving.
Skill in writing and organized finding for reporting purpose</t>
  </si>
  <si>
    <t>Introduction to programming</t>
  </si>
  <si>
    <t>Programming Cycle</t>
  </si>
  <si>
    <t>Programming Structure concept</t>
  </si>
  <si>
    <t>Introduction to Python Part 1</t>
  </si>
  <si>
    <t>Introduction to Python Part 2</t>
  </si>
  <si>
    <t>Python Programming Structure Part 1</t>
  </si>
  <si>
    <t>Python Programming Structure Part 2</t>
  </si>
  <si>
    <t xml:space="preserve">Python Functions </t>
  </si>
  <si>
    <t>Python Arrays Part 1</t>
  </si>
  <si>
    <t>Python Arrays Part 2</t>
  </si>
  <si>
    <t>Proposal Presentation</t>
  </si>
  <si>
    <t>Introduction to Block Programming Part 1</t>
  </si>
  <si>
    <t>Introduction to Block Programming Part 2</t>
  </si>
  <si>
    <t>Project Presentation</t>
  </si>
  <si>
    <t>Assignment 3</t>
  </si>
  <si>
    <t xml:space="preserve">% SLT for F2F Physical Component
</t>
  </si>
  <si>
    <t xml:space="preserve">% SLT for Online &amp; Independent Learning Component :
</t>
  </si>
  <si>
    <t xml:space="preserve">                                                        %SLT for Online Component:                                          </t>
  </si>
  <si>
    <t>% SLT for All Practical Component:</t>
  </si>
  <si>
    <t>% SLT for F2F Physical Practical Component:</t>
  </si>
  <si>
    <r>
      <rPr>
        <sz val="11"/>
        <color theme="1"/>
        <rFont val="Calibri"/>
      </rPr>
      <t>% SLT for F2F Online Practical Component</t>
    </r>
    <r>
      <rPr>
        <sz val="11"/>
        <color rgb="FF2E75B5"/>
        <rFont val="Calibri"/>
      </rPr>
      <t>:</t>
    </r>
  </si>
  <si>
    <t>Please tick (/)if this course Industrial Training/ Clinical Placement/ Practicum using 50% of Effective Learning Time (ELT)
Note :
** For ODL Programme : Courses with mandatory practical requirement imposesd by programme standards or any related standards can be ecempted from complying to the minimum 80% ODL delivery rule in the SLT.</t>
  </si>
  <si>
    <t>Scratch Programming</t>
  </si>
  <si>
    <r>
      <rPr>
        <b/>
        <sz val="11"/>
        <color theme="1"/>
        <rFont val="Calibri"/>
      </rPr>
      <t>Main references</t>
    </r>
    <r>
      <rPr>
        <sz val="11"/>
        <color theme="1"/>
        <rFont val="Calibri"/>
      </rPr>
      <t xml:space="preserve">
a.	Harold J. R. (2001). Logic and Structured Design for Computer Programmers. 3rd Edition. USA: Cole Publishers
b.	Maruch, S., &amp; Maruch, A. (2006). Python for dummies. John Wiley &amp; Sons.
c.	How To Code in Python 3 – DigitalOcean, https://assets.digitalocean.com/books/python/how-to-code-in-python.pdf 
d.	Severance, C. R. (2016). Python for Everybody, https://www.py4e.com/book.php. 
e.	McManus, S. (2013). Scratch programming in easy steps: covers Versions 2.0 and 1.4. In Easy Steps.
f.	Hirako San (2019). Scratch 3: The Practical Guide To Create Games Using Block Programming, Independent Publisher, ISBN-13: 978-1794277748
</t>
    </r>
    <r>
      <rPr>
        <b/>
        <sz val="11"/>
        <color theme="1"/>
        <rFont val="Calibri"/>
      </rPr>
      <t xml:space="preserve">Additional references </t>
    </r>
    <r>
      <rPr>
        <sz val="11"/>
        <color theme="1"/>
        <rFont val="Calibri"/>
      </rPr>
      <t xml:space="preserve">
Please refer to e-Learning
The Python Tutorial, https://docs.python.org/3/tutorial/
Python 3 Tutorial, https://www.w3schools.com/python/
</t>
    </r>
    <r>
      <rPr>
        <b/>
        <sz val="11"/>
        <color theme="1"/>
        <rFont val="Calibri"/>
      </rPr>
      <t>Online:</t>
    </r>
    <r>
      <rPr>
        <sz val="11"/>
        <color theme="1"/>
        <rFont val="Calibri"/>
      </rPr>
      <t xml:space="preserve"> http://elearning.utm.my
Mobile: Install Moodle app &lt; register site name: elearning.utm.my/20211 &lt; Enter My UTM &lt; Click on eLearning from My UTM  </t>
    </r>
  </si>
  <si>
    <r>
      <rPr>
        <b/>
        <sz val="10"/>
        <color theme="1"/>
        <rFont val="Calibri"/>
      </rPr>
      <t xml:space="preserve">Academic honesty and plagiarism: </t>
    </r>
    <r>
      <rPr>
        <i/>
        <sz val="10"/>
        <color theme="1"/>
        <rFont val="Calibri"/>
      </rPr>
      <t>(Below is just a sample)</t>
    </r>
  </si>
  <si>
    <t>Lecture, active learning, work- based learning</t>
  </si>
  <si>
    <t>Active learning, work-based learning</t>
  </si>
  <si>
    <t>Present Industry Project to PPG</t>
  </si>
  <si>
    <t>Introduction to data engineering</t>
  </si>
  <si>
    <t>Prepation to present for industry project</t>
  </si>
  <si>
    <t>SECP 3843</t>
  </si>
  <si>
    <t>Dr Aryati Bakri</t>
  </si>
  <si>
    <t>402-10</t>
  </si>
  <si>
    <t>aryati@utm.my</t>
  </si>
  <si>
    <t>2025-2026/2</t>
  </si>
  <si>
    <t>PLO8 (C3F)</t>
  </si>
  <si>
    <t>A4
A(CC2)</t>
  </si>
  <si>
    <t>A4
A(SI4)</t>
  </si>
  <si>
    <t xml:space="preserve">Academic writing &amp; Presentation </t>
  </si>
  <si>
    <t>Assignment/Programming Tutorial (Azure, Apache, AI-Python)</t>
  </si>
  <si>
    <t>MT, A</t>
  </si>
  <si>
    <t xml:space="preserve">Main references
Reis, J., &amp; Housley, M. (2022). Fundamentals of data engineering. O'Reilly Media, Inc. 
Additional references 
Kovvuri, V. K. R. (2024). Next-Generation Cloud Technologies: Emerging Trends in Automation and Data Engineering. ResearchGate, November.
Vajpayee, R. M. A. (2024). Evolution of Data Engineering: Trends and Technologies Shaping the Future.
Praveen, R. V. S. (2024). Data Engineering for Modern Applications. Addition Publishing House.
Volk, M., Staegemann, D., Bosse, S., Häusler, R., &amp; Turowski, K. (2020). Approaching the (Big) Data Science Engineering Process. In IoTBDS (pp. 428-435).
Pan, I., Mason, L. R., &amp; Matar, O. K. (2022). Data-centric Engineering: integrating simulation, machine learning and statistics. Challenges and opportunities. Chemical Engineering Science, 249, 117271.
Nazabal, A., Williams, C. K., Colavizza, G., Smith, C. R., &amp; Williams, A. (2020). Data engineering for data analytics: A classification of the issues, and case studies. arXiv preprint arXiv:2004.12929.
https://www.youtube.com/@JashRadia (Quality tech and productivity videos from a SWE in Data &amp; AI )		
https://www.youtube.com/@data_academy_id ( Data Academy)
															</t>
  </si>
  <si>
    <t>Applied Computing &amp; AI/Faculty of Computing</t>
  </si>
  <si>
    <t>Active learning</t>
  </si>
  <si>
    <t>In-class activities such as Think-Pair-Share, Jigsaw, Gallery Walk, Troika Consulting, The Journalistic Six, and Bad Idea Brainstorm are used to promote engagement, collaboration, and deeper understanding of course concepts.</t>
  </si>
  <si>
    <t>Programming tutorial</t>
  </si>
  <si>
    <t>The tutorial provides hands-on experience for students to use MS Azure, Python and Apache Spark.</t>
  </si>
  <si>
    <t>Industrial Project-based learning</t>
  </si>
  <si>
    <t>Students will form groups of five to six members and are required to develop a data engineering solution based on an industry-related problem provided. The project requires students to analyse the given problem, design an appropriate data engineering architecture, and implement relevant tools and technologies to process, manage, and analyse data. Through this activity, students will apply theoretical knowledge to practical scenarios while strengthening their problem-solving, technical, and teamwork skills.</t>
  </si>
  <si>
    <t>Individu Project-based learning</t>
  </si>
  <si>
    <t xml:space="preserve">The students will  develop a data engineering solution based on an case study problem provided. The project requires students to analyse the given problem, design an appropriate data engineering architecture, and implement relevant tools and technologies to process, manage, and analyse data. Through this activity, students will apply theoretical knowledge to practical scenarios by individu. </t>
  </si>
  <si>
    <t>Able to share, influence and guide other members of team.</t>
  </si>
  <si>
    <t>MS Azure, Apache Spark, Python (AI)</t>
  </si>
  <si>
    <r>
      <t>Other additional information</t>
    </r>
    <r>
      <rPr>
        <sz val="11"/>
        <color rgb="FF000000"/>
        <rFont val="Calibri"/>
        <family val="2"/>
      </rPr>
      <t xml:space="preserve"> (</t>
    </r>
    <r>
      <rPr>
        <i/>
        <sz val="11"/>
        <color rgb="FF000000"/>
        <rFont val="Calibri"/>
        <family val="2"/>
      </rPr>
      <t>if applicable</t>
    </r>
    <r>
      <rPr>
        <sz val="11"/>
        <color rgb="FF000000"/>
        <rFont val="Calibri"/>
        <family val="2"/>
      </rPr>
      <t>)</t>
    </r>
  </si>
  <si>
    <t>All students must adhere to the following to pass a computing course:
i. Pass both Continuous Assessment AND Final Assessment. 
ii. Get at least minimum pass marks following UTM regulation (40% or D+).
The passing mark for:
- Continuous Assessment is 30% of continuous marks.
- Final Assessment is 20% of the final marks.
If a student does not achieve the passing mark for Continuous Assessment OR the passing mark for the Final Assessment, then the student's overall final mark will be set below the UTM passing mark.
Please refer to UTM Academic Handbook and Guidebook for other rules and regulations.</t>
  </si>
  <si>
    <t>Data engineering lifecycle - cuti raya</t>
  </si>
  <si>
    <t>Industry Visit (PPG) 7.4.2026</t>
  </si>
  <si>
    <t>Technology and data engineering
Present Assigment Azure</t>
  </si>
  <si>
    <t>Data generation in source system
Industry Talk (TM)</t>
  </si>
  <si>
    <t>Talk on improve AI algorithm, given tutorial on AI using Python</t>
  </si>
  <si>
    <t>Storage
Initial Demo Project Industry</t>
  </si>
  <si>
    <t>Ingestion
Initial Demo Project Individu</t>
  </si>
  <si>
    <t>Week 1 (16.3.26)</t>
  </si>
  <si>
    <t>Week 2 (23.3.26)
Raya</t>
  </si>
  <si>
    <t>Week 3 (30.3.26)</t>
  </si>
  <si>
    <t>Week 4 (6.4.26)</t>
  </si>
  <si>
    <t>Week 5 (13.4.26)</t>
  </si>
  <si>
    <t>Week 6 (20.4.26)</t>
  </si>
  <si>
    <t>Week 7 (27.4.26)</t>
  </si>
  <si>
    <t>Week 8 (4.5.26)</t>
  </si>
  <si>
    <t>Week 9 (11.5.26)</t>
  </si>
  <si>
    <t>Week 10 (18.5.26)</t>
  </si>
  <si>
    <t>Week 11 (25.5.26)</t>
  </si>
  <si>
    <t>Week 12 (1.6.26)</t>
  </si>
  <si>
    <t>Week 13 (8.6.26)</t>
  </si>
  <si>
    <t>Week 14 (15.6.26)</t>
  </si>
  <si>
    <t>Week 15 (22.6.26)</t>
  </si>
  <si>
    <t>ikut sekyen</t>
  </si>
  <si>
    <t>ikut seksyen</t>
  </si>
  <si>
    <t>Mid term (week 13) -10.6.2026</t>
  </si>
  <si>
    <t>online (Selasa)</t>
  </si>
  <si>
    <t>Eportfolio (Individu)</t>
  </si>
  <si>
    <t>Week 16  (29.6.26)</t>
  </si>
  <si>
    <t>Study week
Present Eportfolio
Present Final Individu Project</t>
  </si>
  <si>
    <t xml:space="preserve">Data architecture
Ganti cuti raya (kelas selasa dan rabu)
Group presentation (Text Book) - Selasa dan Rabu
Selasa submit the data collection questions to PPG
Dicussion on  data collection for industry project (PPG) -Rabu </t>
  </si>
  <si>
    <t>no class</t>
  </si>
  <si>
    <t>PPG</t>
  </si>
  <si>
    <t>This course provides an advanced exploration of emerging concepts, technologies, and current trends in data engineering. It aims to bridge academic knowledge with real-world industry practices through exposure to contemporary tools and industry-driven learning experiences.
The course covers key areas related to modern data engineering, including big data technologies, current and emerging tools used in the data engineering ecosystem, and industry practices in managing large-scale data systems. Students are introduced to recent developments, challenges, and innovations in the field through engagement with industry experts. The course also exposes students to real-world data engineering environments and practical applications through industrial talks, visits, and project-based activities.
The course is delivered through lectures, active learning sessions, programming laboratories, and project-based learning with an emphasis on hands-on experience, collaboration, and industry engagement.</t>
  </si>
  <si>
    <t>Identify and explain relevant database and data engineering systems and technologies using appropriate big data technology techniques.</t>
  </si>
  <si>
    <t>Discuss and evaluate current database and data engineering technologies used in modern data-driven environments.</t>
  </si>
  <si>
    <t>Analyze issues, challenges, and potential opportunities related to emerging data engineering technologies in real-world applications.</t>
  </si>
  <si>
    <t>Project - Individual (Proposal, Development, Report)</t>
  </si>
  <si>
    <t>Project Industry  (PPG) - Group (Proposal, Development, Report)</t>
  </si>
  <si>
    <t>PR, Pr, Peer</t>
  </si>
  <si>
    <t>This is the basic mapping required for the CI. Any added information is allowed (extra columns for weight or other elements) provided this is made consistent for all CI at program/school/faculty level. 
*Up to 5 CLO
Refer **Taxonomies of Learning and ***UTM’s Graduate Attributes for UG and Generic Skills for PG, where applicable for measurement of outcomes achievement
****A – Assignment; AW- Academic writing; PR – Project; Pr – Presentation; MT - Mid Term; Peer - Peer review</t>
  </si>
  <si>
    <t>AW, Pr, Peer</t>
  </si>
  <si>
    <t>Deep learning (Image)</t>
  </si>
  <si>
    <t>Improve algorithm</t>
  </si>
  <si>
    <t>Azure Tutorial</t>
  </si>
  <si>
    <t>Apache Tutorial</t>
  </si>
  <si>
    <t>AI and data engineering
Demo AI Tutorial</t>
  </si>
  <si>
    <t>AI and data engineering
Mid Term</t>
  </si>
  <si>
    <t>Present Assigment 1 - Technical Report</t>
  </si>
  <si>
    <t>Ind Talk</t>
  </si>
  <si>
    <t>Ind Visit</t>
  </si>
  <si>
    <t>1 page poster</t>
  </si>
  <si>
    <t>1 page news</t>
  </si>
  <si>
    <t>Selasa -MPK7 28/4/26</t>
  </si>
  <si>
    <t>BK3 (Rabu)</t>
  </si>
  <si>
    <t>Selasa (N28 ISTL 329)
Rabu BK3, N28</t>
  </si>
  <si>
    <t>BK3 N28 (Rabu)</t>
  </si>
  <si>
    <t>Rabu BK3, N28</t>
  </si>
  <si>
    <t>Rabu BK3, N28- 24.6.26</t>
  </si>
  <si>
    <t>SELASA 31.3.26 MPK3 ; RABU- 1.4.26 BK3 N28</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</si>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</sst>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ont>
    <font>
      <b/>
      <sz val="10"/>
      <color theme="1"/>
      <name val="Calibri"/>
    </font>
    <font>
      <sz val="11"/>
      <name val="Calibri"/>
    </font>
    <font>
      <b/>
      <sz val="8"/>
      <color theme="1"/>
      <name val="Calibri"/>
    </font>
    <font>
      <sz val="11"/>
      <color theme="1"/>
      <name val="Calibri"/>
    </font>
    <font>
      <i/>
      <sz val="9"/>
      <color theme="1"/>
      <name val="Calibri"/>
    </font>
    <font>
      <i/>
      <sz val="10"/>
      <color theme="1"/>
      <name val="Calibri"/>
    </font>
    <font>
      <b/>
      <sz val="9"/>
      <color theme="1"/>
      <name val="Calibri"/>
    </font>
    <font>
      <sz val="10"/>
      <color theme="1"/>
      <name val="Calibri"/>
    </font>
    <font>
      <sz val="9"/>
      <color rgb="FF1F1F1F"/>
      <name val="Arial"/>
    </font>
    <font>
      <b/>
      <sz val="10"/>
      <color rgb="FF7030A0"/>
      <name val="Calibri"/>
    </font>
    <font>
      <b/>
      <sz val="9"/>
      <color rgb="FF2E75B5"/>
      <name val="Calibri"/>
    </font>
    <font>
      <b/>
      <sz val="9"/>
      <color rgb="FF00B050"/>
      <name val="Calibri"/>
    </font>
    <font>
      <b/>
      <sz val="11"/>
      <color rgb="FF2E75B5"/>
      <name val="Calibri"/>
    </font>
    <font>
      <b/>
      <sz val="9"/>
      <color rgb="FF000000"/>
      <name val="Calibri"/>
    </font>
    <font>
      <b/>
      <sz val="8"/>
      <color rgb="FF7030A0"/>
      <name val="Calibri"/>
    </font>
    <font>
      <sz val="8"/>
      <color rgb="FF000000"/>
      <name val="Calibri"/>
    </font>
    <font>
      <u/>
      <sz val="11"/>
      <color theme="10"/>
      <name val="Calibri"/>
    </font>
    <font>
      <b/>
      <u/>
      <sz val="18"/>
      <color theme="10"/>
      <name val="Calibri"/>
    </font>
    <font>
      <b/>
      <u/>
      <sz val="12"/>
      <color theme="10"/>
      <name val="Calibri"/>
    </font>
    <font>
      <sz val="11"/>
      <color rgb="FF9C5700"/>
      <name val="Calibri"/>
    </font>
    <font>
      <u/>
      <sz val="12"/>
      <color theme="10"/>
      <name val="Calibri"/>
    </font>
    <font>
      <sz val="12"/>
      <color rgb="FF000000"/>
      <name val="Calibri"/>
    </font>
    <font>
      <u/>
      <sz val="12"/>
      <color theme="10"/>
      <name val="Calibri"/>
    </font>
    <font>
      <u/>
      <sz val="12"/>
      <color theme="10"/>
      <name val="Calibri"/>
    </font>
    <font>
      <b/>
      <sz val="12"/>
      <color rgb="FF000000"/>
      <name val="Calibri"/>
    </font>
    <font>
      <sz val="12"/>
      <color rgb="FFFF0000"/>
      <name val="Calibri"/>
    </font>
    <font>
      <sz val="12"/>
      <color theme="1"/>
      <name val="Calibri"/>
    </font>
    <font>
      <u/>
      <sz val="11"/>
      <color theme="10"/>
      <name val="Calibri"/>
    </font>
    <font>
      <sz val="8"/>
      <color theme="1"/>
      <name val="Calibri"/>
    </font>
    <font>
      <u/>
      <sz val="8"/>
      <color theme="10"/>
      <name val="Calibri"/>
    </font>
    <font>
      <sz val="9"/>
      <color theme="1"/>
      <name val="Candara"/>
    </font>
    <font>
      <sz val="9"/>
      <color theme="1"/>
      <name val="Calibri"/>
    </font>
    <font>
      <b/>
      <sz val="9"/>
      <color rgb="FF1F1F1F"/>
      <name val="Calibri"/>
    </font>
    <font>
      <sz val="9"/>
      <color rgb="FF1F1F1F"/>
      <name val="Calibri"/>
    </font>
    <font>
      <sz val="11"/>
      <color rgb="FF2E75B5"/>
      <name val="Calibri"/>
    </font>
    <font>
      <sz val="11"/>
      <color rgb="FF00B050"/>
      <name val="Calibri"/>
    </font>
    <font>
      <sz val="11"/>
      <color rgb="FF7030A0"/>
      <name val="Calibri"/>
    </font>
    <font>
      <sz val="10.5"/>
      <color rgb="FF000000"/>
      <name val="Calibri"/>
      <family val="2"/>
      <scheme val="minor"/>
    </font>
    <font>
      <u/>
      <sz val="11"/>
      <color theme="10"/>
      <name val="Calibri"/>
      <scheme val="minor"/>
    </font>
    <font>
      <sz val="11"/>
      <color theme="1"/>
      <name val="Calibri"/>
      <family val="2"/>
    </font>
    <font>
      <sz val="10"/>
      <color theme="1"/>
      <name val="Calibri"/>
      <family val="2"/>
    </font>
    <font>
      <b/>
      <sz val="10"/>
      <color theme="1"/>
      <name val="Calibri"/>
      <family val="2"/>
    </font>
    <font>
      <b/>
      <sz val="11"/>
      <color rgb="FF000000"/>
      <name val="Calibri"/>
      <family val="2"/>
    </font>
    <font>
      <sz val="11"/>
      <color rgb="FF000000"/>
      <name val="Calibri"/>
      <family val="2"/>
    </font>
    <font>
      <i/>
      <sz val="11"/>
      <color rgb="FF000000"/>
      <name val="Calibri"/>
      <family val="2"/>
    </font>
  </fonts>
  <fills count="6">
    <fill>
      <patternFill patternType="none"/>
    </fill>
    <fill>
      <patternFill patternType="gray125"/>
    </fill>
    <fill>
      <patternFill patternType="solid">
        <fgColor rgb="FFE7E6E6"/>
        <bgColor rgb="FFE7E6E6"/>
      </patternFill>
    </fill>
    <fill>
      <patternFill patternType="solid">
        <fgColor rgb="FFD0CECE"/>
        <bgColor rgb="FFD0CECE"/>
      </patternFill>
    </fill>
    <fill>
      <patternFill patternType="solid">
        <fgColor rgb="FFFFEB9C"/>
        <bgColor rgb="FFFFEB9C"/>
      </patternFill>
    </fill>
    <fill>
      <patternFill patternType="solid">
        <fgColor rgb="FFFFFFFF"/>
        <bgColor indexed="64"/>
      </patternFill>
    </fill>
  </fills>
  <borders count="39">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thin">
        <color rgb="FF000000"/>
      </bottom>
      <diagonal/>
    </border>
    <border>
      <left style="thin">
        <color rgb="FF000000"/>
      </left>
      <right/>
      <top/>
      <bottom/>
      <diagonal/>
    </border>
    <border>
      <left/>
      <right style="thin">
        <color rgb="FF000000"/>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top/>
      <bottom/>
      <diagonal/>
    </border>
    <border>
      <left/>
      <right style="thin">
        <color rgb="FF000000"/>
      </right>
      <top/>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style="thin">
        <color rgb="FF000000"/>
      </right>
      <top style="thin">
        <color rgb="FF000000"/>
      </top>
      <bottom/>
      <diagonal/>
    </border>
    <border>
      <left/>
      <right/>
      <top/>
      <bottom/>
      <diagonal/>
    </border>
    <border>
      <left style="thin">
        <color rgb="FF000000"/>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medium">
        <color rgb="FF000000"/>
      </bottom>
      <diagonal/>
    </border>
    <border>
      <left/>
      <right style="thin">
        <color rgb="FF000000"/>
      </right>
      <top style="thin">
        <color rgb="FF000000"/>
      </top>
      <bottom/>
      <diagonal/>
    </border>
    <border>
      <left style="thin">
        <color rgb="FF000000"/>
      </left>
      <right/>
      <top style="thin">
        <color rgb="FF000000"/>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medium">
        <color rgb="FF000000"/>
      </top>
      <bottom style="medium">
        <color rgb="FF000000"/>
      </bottom>
      <diagonal/>
    </border>
    <border>
      <left style="thin">
        <color indexed="64"/>
      </left>
      <right style="thin">
        <color indexed="64"/>
      </right>
      <top style="thin">
        <color indexed="64"/>
      </top>
      <bottom style="thin">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s>
  <cellStyleXfs count="2">
    <xf numFmtId="0" fontId="0" fillId="0" borderId="0"/>
    <xf numFmtId="0" fontId="44" fillId="0" borderId="0" applyNumberFormat="0" applyFill="0" applyBorder="0" applyAlignment="0" applyProtection="0"/>
  </cellStyleXfs>
  <cellXfs count="216">
    <xf numFmtId="0" fontId="0" fillId="0" borderId="0" xfId="0"/>
    <xf numFmtId="0" fontId="5" fillId="0" borderId="0" xfId="0" applyFont="1" applyAlignment="1">
      <alignment horizontal="center"/>
    </xf>
    <xf numFmtId="0" fontId="6" fillId="3" borderId="7" xfId="0" applyFont="1" applyFill="1" applyBorder="1" applyAlignment="1">
      <alignment horizontal="center" vertical="center" wrapText="1"/>
    </xf>
    <xf numFmtId="0" fontId="10" fillId="0" borderId="10" xfId="0" applyFont="1" applyBorder="1" applyAlignment="1">
      <alignment horizontal="center" vertical="center" wrapText="1"/>
    </xf>
    <xf numFmtId="0" fontId="11" fillId="0" borderId="10" xfId="0" applyFont="1" applyBorder="1" applyAlignment="1">
      <alignment horizontal="center" vertical="center" wrapText="1"/>
    </xf>
    <xf numFmtId="0" fontId="9" fillId="0" borderId="0" xfId="0" applyFont="1"/>
    <xf numFmtId="0" fontId="9" fillId="0" borderId="0" xfId="0" applyFont="1" applyAlignment="1">
      <alignment horizontal="left" vertical="center" wrapText="1"/>
    </xf>
    <xf numFmtId="0" fontId="9" fillId="0" borderId="0" xfId="0" applyFont="1" applyAlignment="1">
      <alignment vertical="top"/>
    </xf>
    <xf numFmtId="0" fontId="5" fillId="2" borderId="10" xfId="0" applyFont="1" applyFill="1" applyBorder="1" applyAlignment="1">
      <alignment horizontal="center" vertical="center" wrapText="1"/>
    </xf>
    <xf numFmtId="0" fontId="6" fillId="2" borderId="10" xfId="0" applyFont="1" applyFill="1" applyBorder="1" applyAlignment="1">
      <alignment horizontal="center" vertical="center" wrapText="1"/>
    </xf>
    <xf numFmtId="0" fontId="13" fillId="0" borderId="10" xfId="0" applyFont="1" applyBorder="1" applyAlignment="1">
      <alignment horizontal="center" vertical="center" wrapText="1"/>
    </xf>
    <xf numFmtId="0" fontId="5" fillId="2" borderId="10" xfId="0" applyFont="1" applyFill="1" applyBorder="1" applyAlignment="1">
      <alignment horizontal="center"/>
    </xf>
    <xf numFmtId="0" fontId="13" fillId="0" borderId="17" xfId="0" applyFont="1" applyBorder="1" applyAlignment="1">
      <alignment horizontal="center" vertical="center"/>
    </xf>
    <xf numFmtId="0" fontId="13" fillId="0" borderId="10" xfId="0" applyFont="1" applyBorder="1" applyAlignment="1">
      <alignment horizontal="center" vertical="center"/>
    </xf>
    <xf numFmtId="0" fontId="9" fillId="0" borderId="1" xfId="0" applyFont="1" applyBorder="1" applyAlignment="1">
      <alignment horizontal="center" vertical="center"/>
    </xf>
    <xf numFmtId="0" fontId="13" fillId="0" borderId="1" xfId="0" applyFont="1" applyBorder="1" applyAlignment="1">
      <alignment horizontal="center" vertical="center"/>
    </xf>
    <xf numFmtId="0" fontId="5" fillId="0" borderId="10" xfId="0" applyFont="1" applyBorder="1" applyAlignment="1">
      <alignment horizontal="center" vertical="center"/>
    </xf>
    <xf numFmtId="0" fontId="5" fillId="0" borderId="0" xfId="0" applyFont="1" applyAlignment="1">
      <alignment horizontal="center" vertical="top"/>
    </xf>
    <xf numFmtId="0" fontId="5" fillId="0" borderId="0" xfId="0" applyFont="1" applyAlignment="1">
      <alignment horizontal="right"/>
    </xf>
    <xf numFmtId="0" fontId="9" fillId="0" borderId="10" xfId="0" applyFont="1" applyBorder="1"/>
    <xf numFmtId="0" fontId="9" fillId="0" borderId="10" xfId="0" applyFont="1" applyBorder="1" applyAlignment="1">
      <alignment horizontal="center"/>
    </xf>
    <xf numFmtId="0" fontId="9" fillId="0" borderId="3" xfId="0" applyFont="1" applyBorder="1" applyAlignment="1">
      <alignment horizontal="center"/>
    </xf>
    <xf numFmtId="0" fontId="9" fillId="0" borderId="10" xfId="0" applyFont="1" applyBorder="1" applyAlignment="1">
      <alignment vertical="center"/>
    </xf>
    <xf numFmtId="0" fontId="5" fillId="0" borderId="10" xfId="0" applyFont="1" applyBorder="1" applyAlignment="1">
      <alignment horizontal="center"/>
    </xf>
    <xf numFmtId="0" fontId="5" fillId="0" borderId="0" xfId="0" applyFont="1" applyAlignment="1">
      <alignment horizontal="left" vertical="top"/>
    </xf>
    <xf numFmtId="0" fontId="9" fillId="0" borderId="2" xfId="0" applyFont="1" applyBorder="1" applyAlignment="1">
      <alignment vertical="center"/>
    </xf>
    <xf numFmtId="0" fontId="9" fillId="0" borderId="3" xfId="0" applyFont="1" applyBorder="1" applyAlignment="1">
      <alignment vertical="center"/>
    </xf>
    <xf numFmtId="0" fontId="9" fillId="0" borderId="10" xfId="0" applyFont="1" applyBorder="1" applyAlignment="1">
      <alignment horizontal="center" vertical="center"/>
    </xf>
    <xf numFmtId="0" fontId="9" fillId="0" borderId="3" xfId="0" applyFont="1" applyBorder="1" applyAlignment="1">
      <alignment horizontal="center" vertical="center"/>
    </xf>
    <xf numFmtId="0" fontId="5" fillId="0" borderId="0" xfId="0" applyFont="1" applyAlignment="1">
      <alignment horizontal="center" vertical="center"/>
    </xf>
    <xf numFmtId="0" fontId="9" fillId="0" borderId="0" xfId="0" applyFont="1" applyAlignment="1">
      <alignment horizontal="left"/>
    </xf>
    <xf numFmtId="0" fontId="5" fillId="0" borderId="0" xfId="0" applyFont="1" applyAlignment="1">
      <alignment horizontal="center" vertical="top" wrapText="1"/>
    </xf>
    <xf numFmtId="0" fontId="9" fillId="0" borderId="0" xfId="0" applyFont="1" applyAlignment="1">
      <alignment horizontal="left" wrapText="1"/>
    </xf>
    <xf numFmtId="0" fontId="9" fillId="0" borderId="0" xfId="0" applyFont="1" applyAlignment="1">
      <alignment horizontal="center"/>
    </xf>
    <xf numFmtId="0" fontId="22" fillId="0" borderId="0" xfId="0" applyFont="1"/>
    <xf numFmtId="0" fontId="23" fillId="0" borderId="0" xfId="0" applyFont="1"/>
    <xf numFmtId="0" fontId="24" fillId="4" borderId="34" xfId="0" applyFont="1" applyFill="1" applyBorder="1" applyAlignment="1">
      <alignment horizontal="center" vertical="center" wrapText="1"/>
    </xf>
    <xf numFmtId="0" fontId="25" fillId="4" borderId="34" xfId="0" applyFont="1" applyFill="1" applyBorder="1" applyAlignment="1">
      <alignment horizontal="center" vertical="center" wrapText="1"/>
    </xf>
    <xf numFmtId="0" fontId="26" fillId="0" borderId="0" xfId="0" applyFont="1" applyAlignment="1">
      <alignment horizontal="left" vertical="top"/>
    </xf>
    <xf numFmtId="0" fontId="27" fillId="0" borderId="0" xfId="0" applyFont="1" applyAlignment="1">
      <alignment horizontal="left" vertical="top"/>
    </xf>
    <xf numFmtId="9" fontId="27" fillId="0" borderId="0" xfId="0" applyNumberFormat="1" applyFont="1" applyAlignment="1">
      <alignment horizontal="left" vertical="top"/>
    </xf>
    <xf numFmtId="0" fontId="27" fillId="0" borderId="0" xfId="0" applyFont="1" applyAlignment="1">
      <alignment horizontal="left"/>
    </xf>
    <xf numFmtId="0" fontId="28" fillId="0" borderId="0" xfId="0" applyFont="1"/>
    <xf numFmtId="0" fontId="27" fillId="0" borderId="0" xfId="0" applyFont="1"/>
    <xf numFmtId="0" fontId="29" fillId="0" borderId="10" xfId="0" applyFont="1" applyBorder="1"/>
    <xf numFmtId="0" fontId="27" fillId="0" borderId="10" xfId="0" applyFont="1" applyBorder="1"/>
    <xf numFmtId="0" fontId="30" fillId="0" borderId="10" xfId="0" applyFont="1" applyBorder="1"/>
    <xf numFmtId="0" fontId="31" fillId="0" borderId="10" xfId="0" applyFont="1" applyBorder="1"/>
    <xf numFmtId="0" fontId="32" fillId="0" borderId="10" xfId="0" applyFont="1" applyBorder="1"/>
    <xf numFmtId="0" fontId="32" fillId="0" borderId="0" xfId="0" applyFont="1"/>
    <xf numFmtId="0" fontId="6" fillId="0" borderId="10" xfId="0" applyFont="1" applyBorder="1" applyAlignment="1">
      <alignment horizontal="center" vertical="center" wrapText="1"/>
    </xf>
    <xf numFmtId="0" fontId="13" fillId="0" borderId="10" xfId="0" applyFont="1" applyBorder="1" applyAlignment="1">
      <alignment horizontal="center"/>
    </xf>
    <xf numFmtId="0" fontId="13" fillId="0" borderId="10" xfId="0" applyFont="1" applyBorder="1"/>
    <xf numFmtId="0" fontId="13" fillId="0" borderId="1" xfId="0" applyFont="1" applyBorder="1"/>
    <xf numFmtId="0" fontId="34" fillId="0" borderId="10" xfId="0" applyFont="1" applyBorder="1" applyAlignment="1">
      <alignment horizontal="center" vertical="center" wrapText="1"/>
    </xf>
    <xf numFmtId="0" fontId="36" fillId="0" borderId="0" xfId="0" applyFont="1" applyAlignment="1">
      <alignment wrapText="1"/>
    </xf>
    <xf numFmtId="0" fontId="34" fillId="0" borderId="10" xfId="0" applyFont="1" applyBorder="1" applyAlignment="1">
      <alignment vertical="center" wrapText="1"/>
    </xf>
    <xf numFmtId="0" fontId="13" fillId="0" borderId="10" xfId="0" applyFont="1" applyBorder="1" applyAlignment="1">
      <alignment horizontal="center" vertical="top"/>
    </xf>
    <xf numFmtId="0" fontId="13" fillId="0" borderId="10" xfId="0" applyFont="1" applyBorder="1" applyAlignment="1">
      <alignment vertical="top"/>
    </xf>
    <xf numFmtId="0" fontId="13" fillId="0" borderId="1" xfId="0" applyFont="1" applyBorder="1" applyAlignment="1">
      <alignment vertical="top"/>
    </xf>
    <xf numFmtId="0" fontId="5" fillId="0" borderId="10" xfId="0" applyFont="1" applyBorder="1" applyAlignment="1">
      <alignment horizontal="center" vertical="top"/>
    </xf>
    <xf numFmtId="0" fontId="5" fillId="0" borderId="10" xfId="0" applyFont="1" applyBorder="1" applyAlignment="1">
      <alignment horizontal="left" vertical="top"/>
    </xf>
    <xf numFmtId="0" fontId="43" fillId="0" borderId="28" xfId="0" applyFont="1" applyBorder="1" applyAlignment="1">
      <alignment horizontal="center" vertical="center" wrapText="1"/>
    </xf>
    <xf numFmtId="0" fontId="5" fillId="2" borderId="17" xfId="0" applyFont="1" applyFill="1" applyBorder="1" applyAlignment="1">
      <alignment horizontal="center" vertical="center" wrapText="1"/>
    </xf>
    <xf numFmtId="0" fontId="7" fillId="0" borderId="21" xfId="0" applyFont="1" applyBorder="1"/>
    <xf numFmtId="0" fontId="13" fillId="0" borderId="23" xfId="0" applyFont="1" applyBorder="1" applyAlignment="1">
      <alignment horizontal="center" vertical="center"/>
    </xf>
    <xf numFmtId="0" fontId="45" fillId="0" borderId="10" xfId="0" applyFont="1" applyBorder="1" applyAlignment="1">
      <alignment horizontal="center" vertical="center" wrapText="1"/>
    </xf>
    <xf numFmtId="0" fontId="43" fillId="0" borderId="35" xfId="0" applyFont="1" applyBorder="1" applyAlignment="1">
      <alignment horizontal="center" vertical="center" wrapText="1"/>
    </xf>
    <xf numFmtId="0" fontId="6" fillId="2" borderId="17" xfId="0" applyFont="1" applyFill="1" applyBorder="1" applyAlignment="1">
      <alignment horizontal="center" vertical="center" wrapText="1"/>
    </xf>
    <xf numFmtId="0" fontId="45" fillId="0" borderId="35" xfId="0" applyFont="1" applyBorder="1" applyAlignment="1">
      <alignment horizontal="center" vertical="center" wrapText="1"/>
    </xf>
    <xf numFmtId="0" fontId="45" fillId="5" borderId="35" xfId="0" applyFont="1" applyFill="1" applyBorder="1" applyAlignment="1">
      <alignment horizontal="center" vertical="center" wrapText="1"/>
    </xf>
    <xf numFmtId="0" fontId="13" fillId="0" borderId="35" xfId="0" applyFont="1" applyBorder="1" applyAlignment="1">
      <alignment horizontal="center" vertical="center" wrapText="1"/>
    </xf>
    <xf numFmtId="0" fontId="0" fillId="0" borderId="18" xfId="0" applyBorder="1"/>
    <xf numFmtId="0" fontId="4" fillId="0" borderId="0" xfId="0" applyFont="1"/>
    <xf numFmtId="0" fontId="3" fillId="0" borderId="0" xfId="0" applyFont="1"/>
    <xf numFmtId="0" fontId="2" fillId="0" borderId="0" xfId="0" applyFont="1"/>
    <xf numFmtId="0" fontId="0" fillId="0" borderId="0" xfId="0" applyAlignment="1">
      <alignment wrapText="1"/>
    </xf>
    <xf numFmtId="0" fontId="9" fillId="0" borderId="18" xfId="0" applyFont="1" applyBorder="1" applyAlignment="1">
      <alignment horizontal="center" vertical="center"/>
    </xf>
    <xf numFmtId="0" fontId="7" fillId="0" borderId="18" xfId="0" applyFont="1" applyBorder="1"/>
    <xf numFmtId="0" fontId="45" fillId="0" borderId="1" xfId="0" applyFont="1" applyBorder="1" applyAlignment="1">
      <alignment horizontal="center" vertical="center" wrapText="1"/>
    </xf>
    <xf numFmtId="0" fontId="7" fillId="0" borderId="3" xfId="0" applyFont="1" applyBorder="1"/>
    <xf numFmtId="0" fontId="13" fillId="0" borderId="1" xfId="0" applyFont="1" applyBorder="1" applyAlignment="1">
      <alignment horizontal="left" vertical="center" wrapText="1"/>
    </xf>
    <xf numFmtId="0" fontId="7" fillId="0" borderId="2" xfId="0" applyFont="1" applyBorder="1"/>
    <xf numFmtId="0" fontId="9" fillId="0" borderId="1" xfId="0" applyFont="1" applyBorder="1" applyAlignment="1">
      <alignment horizontal="center" vertical="center"/>
    </xf>
    <xf numFmtId="0" fontId="45" fillId="0" borderId="1" xfId="0" applyFont="1" applyBorder="1" applyAlignment="1">
      <alignment horizontal="left" vertical="center" wrapText="1"/>
    </xf>
    <xf numFmtId="0" fontId="9" fillId="0" borderId="1" xfId="0" applyFont="1" applyBorder="1" applyAlignment="1">
      <alignment horizontal="left" vertical="center" wrapText="1"/>
    </xf>
    <xf numFmtId="0" fontId="46" fillId="0" borderId="1" xfId="0" applyFont="1" applyBorder="1" applyAlignment="1">
      <alignment horizontal="left" vertical="center" wrapText="1"/>
    </xf>
    <xf numFmtId="0" fontId="9" fillId="0" borderId="2" xfId="0" applyFont="1" applyBorder="1" applyAlignment="1">
      <alignment horizontal="center" vertical="center"/>
    </xf>
    <xf numFmtId="0" fontId="4" fillId="0" borderId="7" xfId="0" applyFont="1" applyBorder="1" applyAlignment="1">
      <alignment wrapText="1"/>
    </xf>
    <xf numFmtId="0" fontId="0" fillId="0" borderId="15" xfId="0" applyBorder="1"/>
    <xf numFmtId="0" fontId="0" fillId="0" borderId="3" xfId="0" applyBorder="1"/>
    <xf numFmtId="0" fontId="5" fillId="0" borderId="1" xfId="0" applyFont="1" applyBorder="1" applyAlignment="1">
      <alignment horizontal="center" vertical="top"/>
    </xf>
    <xf numFmtId="0" fontId="17" fillId="2" borderId="4" xfId="0" applyFont="1" applyFill="1" applyBorder="1" applyAlignment="1">
      <alignment horizontal="center" vertical="center" wrapText="1"/>
    </xf>
    <xf numFmtId="0" fontId="7" fillId="0" borderId="5" xfId="0" applyFont="1" applyBorder="1"/>
    <xf numFmtId="0" fontId="7" fillId="0" borderId="6" xfId="0" applyFont="1" applyBorder="1"/>
    <xf numFmtId="0" fontId="7" fillId="0" borderId="20" xfId="0" applyFont="1" applyBorder="1"/>
    <xf numFmtId="0" fontId="7" fillId="0" borderId="14" xfId="0" applyFont="1" applyBorder="1"/>
    <xf numFmtId="0" fontId="7" fillId="0" borderId="22" xfId="0" applyFont="1" applyBorder="1"/>
    <xf numFmtId="0" fontId="17" fillId="2" borderId="30" xfId="0" applyFont="1" applyFill="1" applyBorder="1" applyAlignment="1">
      <alignment horizontal="center" vertical="center" wrapText="1"/>
    </xf>
    <xf numFmtId="0" fontId="7" fillId="0" borderId="32" xfId="0" applyFont="1" applyBorder="1"/>
    <xf numFmtId="0" fontId="45" fillId="0" borderId="1" xfId="0" applyFont="1" applyBorder="1" applyAlignment="1">
      <alignment horizontal="left" vertical="center"/>
    </xf>
    <xf numFmtId="0" fontId="17" fillId="2" borderId="17" xfId="0" applyFont="1" applyFill="1" applyBorder="1" applyAlignment="1">
      <alignment horizontal="center" vertical="center" wrapText="1"/>
    </xf>
    <xf numFmtId="0" fontId="7" fillId="0" borderId="23" xfId="0" applyFont="1" applyBorder="1"/>
    <xf numFmtId="0" fontId="19" fillId="2" borderId="27" xfId="0" applyFont="1" applyFill="1" applyBorder="1" applyAlignment="1">
      <alignment horizontal="center" vertical="center"/>
    </xf>
    <xf numFmtId="0" fontId="7" fillId="0" borderId="28" xfId="0" applyFont="1" applyBorder="1"/>
    <xf numFmtId="0" fontId="5" fillId="2" borderId="4" xfId="0" applyFont="1" applyFill="1" applyBorder="1" applyAlignment="1">
      <alignment horizontal="center" vertical="center"/>
    </xf>
    <xf numFmtId="0" fontId="7" fillId="0" borderId="8" xfId="0" applyFont="1" applyBorder="1"/>
    <xf numFmtId="0" fontId="0" fillId="0" borderId="0" xfId="0"/>
    <xf numFmtId="0" fontId="7" fillId="0" borderId="9" xfId="0" applyFont="1" applyBorder="1"/>
    <xf numFmtId="0" fontId="5" fillId="2" borderId="1" xfId="0" applyFont="1" applyFill="1" applyBorder="1" applyAlignment="1">
      <alignment horizontal="center" vertical="center"/>
    </xf>
    <xf numFmtId="0" fontId="15" fillId="2" borderId="1" xfId="0" applyFont="1" applyFill="1" applyBorder="1" applyAlignment="1">
      <alignment horizontal="center" vertical="top" wrapText="1"/>
    </xf>
    <xf numFmtId="0" fontId="18" fillId="2" borderId="4" xfId="0" applyFont="1" applyFill="1" applyBorder="1" applyAlignment="1">
      <alignment horizontal="center" vertical="center"/>
    </xf>
    <xf numFmtId="0" fontId="14" fillId="0" borderId="1" xfId="0" applyFont="1" applyBorder="1" applyAlignment="1">
      <alignment horizontal="left" wrapText="1"/>
    </xf>
    <xf numFmtId="0" fontId="5" fillId="0" borderId="14" xfId="0" applyFont="1" applyBorder="1" applyAlignment="1">
      <alignment horizontal="left"/>
    </xf>
    <xf numFmtId="0" fontId="5" fillId="2" borderId="30" xfId="0" applyFont="1" applyFill="1" applyBorder="1" applyAlignment="1">
      <alignment horizontal="center"/>
    </xf>
    <xf numFmtId="0" fontId="7" fillId="0" borderId="25" xfId="0" applyFont="1" applyBorder="1"/>
    <xf numFmtId="0" fontId="7" fillId="0" borderId="29" xfId="0" applyFont="1" applyBorder="1"/>
    <xf numFmtId="0" fontId="9" fillId="0" borderId="35" xfId="0" applyFont="1" applyBorder="1" applyAlignment="1">
      <alignment horizontal="left" vertical="center"/>
    </xf>
    <xf numFmtId="0" fontId="7" fillId="0" borderId="35" xfId="0" applyFont="1" applyBorder="1"/>
    <xf numFmtId="0" fontId="9" fillId="0" borderId="35" xfId="0" applyFont="1" applyBorder="1" applyAlignment="1">
      <alignment vertical="center" wrapText="1"/>
    </xf>
    <xf numFmtId="0" fontId="5" fillId="2" borderId="1" xfId="0" applyFont="1" applyFill="1" applyBorder="1" applyAlignment="1">
      <alignment horizontal="center" vertical="center" wrapText="1"/>
    </xf>
    <xf numFmtId="0" fontId="15" fillId="2" borderId="1" xfId="0" applyFont="1" applyFill="1" applyBorder="1" applyAlignment="1">
      <alignment horizontal="center" vertical="center" wrapText="1"/>
    </xf>
    <xf numFmtId="0" fontId="45" fillId="0" borderId="35" xfId="0" applyFont="1" applyBorder="1" applyAlignment="1">
      <alignment vertical="center" wrapText="1"/>
    </xf>
    <xf numFmtId="0" fontId="45" fillId="5" borderId="35" xfId="0" applyFont="1" applyFill="1" applyBorder="1" applyAlignment="1">
      <alignment vertical="center" wrapText="1"/>
    </xf>
    <xf numFmtId="0" fontId="8" fillId="2" borderId="1" xfId="0" applyFont="1" applyFill="1" applyBorder="1" applyAlignment="1">
      <alignment horizontal="center" vertical="center" wrapText="1"/>
    </xf>
    <xf numFmtId="0" fontId="6" fillId="0" borderId="1" xfId="0" applyFont="1" applyBorder="1" applyAlignment="1">
      <alignment horizontal="center" vertical="center" wrapText="1"/>
    </xf>
    <xf numFmtId="0" fontId="5" fillId="0" borderId="0" xfId="0" applyFont="1" applyAlignment="1">
      <alignment horizontal="center"/>
    </xf>
    <xf numFmtId="0" fontId="6" fillId="2" borderId="1" xfId="0" applyFont="1" applyFill="1" applyBorder="1" applyAlignment="1">
      <alignment horizontal="left" vertical="center"/>
    </xf>
    <xf numFmtId="0" fontId="47" fillId="0" borderId="1" xfId="0" applyFont="1" applyBorder="1" applyAlignment="1">
      <alignment vertical="center"/>
    </xf>
    <xf numFmtId="0" fontId="6" fillId="2" borderId="1" xfId="0" applyFont="1" applyFill="1" applyBorder="1" applyAlignment="1">
      <alignment horizontal="left" vertical="center" wrapText="1"/>
    </xf>
    <xf numFmtId="0" fontId="6" fillId="0" borderId="1" xfId="0" applyFont="1" applyBorder="1" applyAlignment="1">
      <alignment vertical="center" wrapText="1"/>
    </xf>
    <xf numFmtId="0" fontId="6" fillId="0" borderId="1" xfId="0" applyFont="1" applyBorder="1" applyAlignment="1">
      <alignment horizontal="left" vertical="center" wrapText="1"/>
    </xf>
    <xf numFmtId="0" fontId="9" fillId="0" borderId="1" xfId="0" applyFont="1" applyBorder="1" applyAlignment="1">
      <alignment horizontal="left" vertical="center"/>
    </xf>
    <xf numFmtId="0" fontId="6" fillId="3" borderId="1" xfId="0" applyFont="1" applyFill="1" applyBorder="1" applyAlignment="1">
      <alignment horizontal="center" vertical="center" wrapText="1"/>
    </xf>
    <xf numFmtId="0" fontId="6" fillId="3" borderId="4" xfId="0" applyFont="1" applyFill="1" applyBorder="1" applyAlignment="1">
      <alignment horizontal="center" vertical="center" wrapText="1"/>
    </xf>
    <xf numFmtId="0" fontId="7" fillId="0" borderId="11" xfId="0" applyFont="1" applyBorder="1"/>
    <xf numFmtId="0" fontId="7" fillId="0" borderId="12" xfId="0" applyFont="1" applyBorder="1"/>
    <xf numFmtId="0" fontId="7" fillId="0" borderId="13" xfId="0" applyFont="1" applyBorder="1"/>
    <xf numFmtId="0" fontId="9" fillId="0" borderId="1" xfId="0" applyFont="1" applyBorder="1" applyAlignment="1">
      <alignment horizontal="left" wrapText="1"/>
    </xf>
    <xf numFmtId="0" fontId="44" fillId="0" borderId="1" xfId="1" applyBorder="1" applyAlignment="1">
      <alignment horizontal="center" vertical="center" wrapText="1"/>
    </xf>
    <xf numFmtId="0" fontId="11" fillId="0" borderId="1" xfId="0" applyFont="1" applyBorder="1" applyAlignment="1">
      <alignment horizontal="center" vertical="center" wrapText="1"/>
    </xf>
    <xf numFmtId="0" fontId="12" fillId="2" borderId="1" xfId="0" applyFont="1" applyFill="1" applyBorder="1" applyAlignment="1">
      <alignment horizontal="center" vertical="center" wrapText="1"/>
    </xf>
    <xf numFmtId="0" fontId="45" fillId="0" borderId="15" xfId="0" applyFont="1" applyBorder="1" applyAlignment="1">
      <alignment horizontal="center" vertical="center" wrapText="1"/>
    </xf>
    <xf numFmtId="0" fontId="9" fillId="0" borderId="0" xfId="0" applyFont="1" applyAlignment="1">
      <alignment horizontal="left" vertical="center" wrapText="1"/>
    </xf>
    <xf numFmtId="0" fontId="5" fillId="2" borderId="1" xfId="0" applyFont="1" applyFill="1" applyBorder="1" applyAlignment="1">
      <alignment horizontal="center" vertical="top"/>
    </xf>
    <xf numFmtId="0" fontId="5" fillId="2" borderId="1" xfId="0" applyFont="1" applyFill="1" applyBorder="1" applyAlignment="1">
      <alignment horizontal="center" vertical="top" wrapText="1"/>
    </xf>
    <xf numFmtId="0" fontId="5" fillId="0" borderId="1" xfId="0" applyFont="1" applyBorder="1" applyAlignment="1">
      <alignment horizontal="center" vertical="top" wrapText="1"/>
    </xf>
    <xf numFmtId="0" fontId="3" fillId="0" borderId="37" xfId="0" applyFont="1" applyBorder="1" applyAlignment="1">
      <alignment vertical="center" wrapText="1"/>
    </xf>
    <xf numFmtId="0" fontId="3" fillId="0" borderId="38" xfId="0" applyFont="1" applyBorder="1" applyAlignment="1">
      <alignment vertical="center" wrapText="1"/>
    </xf>
    <xf numFmtId="0" fontId="13" fillId="0" borderId="1"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7" xfId="0" applyFont="1" applyBorder="1" applyAlignment="1">
      <alignment horizontal="center" vertical="center" wrapText="1"/>
    </xf>
    <xf numFmtId="0" fontId="13" fillId="0" borderId="3" xfId="0" applyFont="1" applyBorder="1" applyAlignment="1">
      <alignment horizontal="center" vertical="center" wrapText="1"/>
    </xf>
    <xf numFmtId="0" fontId="46" fillId="0" borderId="7" xfId="0" applyFont="1" applyBorder="1" applyAlignment="1">
      <alignment horizontal="center" vertical="center" wrapText="1"/>
    </xf>
    <xf numFmtId="0" fontId="7" fillId="0" borderId="15" xfId="0" applyFont="1" applyBorder="1"/>
    <xf numFmtId="0" fontId="12" fillId="2" borderId="17" xfId="0" applyFont="1" applyFill="1" applyBorder="1" applyAlignment="1">
      <alignment horizontal="center" vertical="center"/>
    </xf>
    <xf numFmtId="0" fontId="5" fillId="0" borderId="1" xfId="0" applyFont="1" applyBorder="1" applyAlignment="1">
      <alignment horizontal="left" wrapText="1"/>
    </xf>
    <xf numFmtId="0" fontId="45" fillId="0" borderId="1" xfId="0" applyFont="1" applyBorder="1" applyAlignment="1">
      <alignment horizontal="left" vertical="top" wrapText="1"/>
    </xf>
    <xf numFmtId="0" fontId="5" fillId="0" borderId="0" xfId="0" applyFont="1" applyAlignment="1">
      <alignment horizontal="left"/>
    </xf>
    <xf numFmtId="0" fontId="5" fillId="2" borderId="4" xfId="0" applyFont="1" applyFill="1" applyBorder="1" applyAlignment="1">
      <alignment horizontal="center" vertical="center" wrapText="1"/>
    </xf>
    <xf numFmtId="0" fontId="7" fillId="0" borderId="16" xfId="0" applyFont="1" applyBorder="1"/>
    <xf numFmtId="0" fontId="7" fillId="0" borderId="21" xfId="0" applyFont="1" applyBorder="1"/>
    <xf numFmtId="0" fontId="5" fillId="2" borderId="17" xfId="0" applyFont="1" applyFill="1" applyBorder="1" applyAlignment="1">
      <alignment horizontal="center" vertical="center" wrapText="1"/>
    </xf>
    <xf numFmtId="0" fontId="7" fillId="0" borderId="19" xfId="0" applyFont="1" applyBorder="1"/>
    <xf numFmtId="0" fontId="9" fillId="0" borderId="20" xfId="0" applyFont="1" applyBorder="1" applyAlignment="1">
      <alignment horizontal="center" vertical="center"/>
    </xf>
    <xf numFmtId="0" fontId="45" fillId="0" borderId="4" xfId="0" applyFont="1" applyBorder="1" applyAlignment="1">
      <alignment horizontal="center" vertical="center" wrapText="1"/>
    </xf>
    <xf numFmtId="0" fontId="13" fillId="0" borderId="24" xfId="0" applyFont="1" applyBorder="1" applyAlignment="1">
      <alignment horizontal="left" vertical="center" wrapText="1"/>
    </xf>
    <xf numFmtId="0" fontId="7" fillId="0" borderId="26" xfId="0" applyFont="1" applyBorder="1"/>
    <xf numFmtId="0" fontId="9" fillId="0" borderId="4" xfId="0" applyFont="1" applyBorder="1" applyAlignment="1">
      <alignment horizontal="center" vertical="center"/>
    </xf>
    <xf numFmtId="0" fontId="46" fillId="0" borderId="24" xfId="0" applyFont="1" applyBorder="1" applyAlignment="1">
      <alignment horizontal="left" vertical="center" wrapText="1"/>
    </xf>
    <xf numFmtId="0" fontId="45" fillId="0" borderId="20" xfId="0" applyFont="1" applyBorder="1" applyAlignment="1">
      <alignment horizontal="center" vertical="center" wrapText="1"/>
    </xf>
    <xf numFmtId="0" fontId="16" fillId="2" borderId="1" xfId="0" applyFont="1" applyFill="1" applyBorder="1" applyAlignment="1">
      <alignment horizontal="center" vertical="center"/>
    </xf>
    <xf numFmtId="0" fontId="17" fillId="2" borderId="1" xfId="0" applyFont="1" applyFill="1" applyBorder="1" applyAlignment="1">
      <alignment horizontal="center" vertical="center" wrapText="1"/>
    </xf>
    <xf numFmtId="0" fontId="8" fillId="2" borderId="17" xfId="0" applyFont="1" applyFill="1" applyBorder="1" applyAlignment="1">
      <alignment horizontal="center" vertical="center" wrapText="1"/>
    </xf>
    <xf numFmtId="0" fontId="5" fillId="0" borderId="0" xfId="0" applyFont="1" applyAlignment="1">
      <alignment horizontal="left" vertical="top"/>
    </xf>
    <xf numFmtId="0" fontId="5" fillId="0" borderId="0" xfId="0" applyFont="1" applyAlignment="1">
      <alignment horizontal="center" vertical="top"/>
    </xf>
    <xf numFmtId="0" fontId="5" fillId="0" borderId="1" xfId="0" applyFont="1" applyBorder="1" applyAlignment="1">
      <alignment horizontal="left" vertical="top"/>
    </xf>
    <xf numFmtId="0" fontId="20" fillId="2" borderId="1" xfId="0" applyFont="1" applyFill="1" applyBorder="1" applyAlignment="1">
      <alignment horizontal="center" vertical="top" wrapText="1"/>
    </xf>
    <xf numFmtId="0" fontId="5" fillId="2" borderId="29" xfId="0" applyFont="1" applyFill="1" applyBorder="1" applyAlignment="1">
      <alignment horizontal="center" vertical="center" wrapText="1"/>
    </xf>
    <xf numFmtId="0" fontId="7" fillId="0" borderId="31" xfId="0" applyFont="1" applyBorder="1"/>
    <xf numFmtId="0" fontId="7" fillId="0" borderId="33" xfId="0" applyFont="1" applyBorder="1"/>
    <xf numFmtId="0" fontId="21" fillId="2" borderId="27" xfId="0" applyFont="1" applyFill="1" applyBorder="1" applyAlignment="1">
      <alignment horizontal="center" vertical="center" wrapText="1"/>
    </xf>
    <xf numFmtId="0" fontId="6" fillId="0" borderId="21" xfId="0" applyFont="1" applyBorder="1" applyAlignment="1">
      <alignment horizontal="left" vertical="center"/>
    </xf>
    <xf numFmtId="0" fontId="9" fillId="0" borderId="1" xfId="0" applyFont="1" applyBorder="1" applyAlignment="1">
      <alignment horizontal="left" vertical="top" wrapText="1"/>
    </xf>
    <xf numFmtId="0" fontId="5" fillId="0" borderId="1" xfId="0" applyFont="1" applyBorder="1" applyAlignment="1">
      <alignment horizontal="left" vertical="top" wrapText="1"/>
    </xf>
    <xf numFmtId="0" fontId="9" fillId="0" borderId="0" xfId="0" applyFont="1" applyAlignment="1">
      <alignment horizontal="center" vertical="top" wrapText="1"/>
    </xf>
    <xf numFmtId="0" fontId="5" fillId="0" borderId="1" xfId="0" applyFont="1" applyBorder="1" applyAlignment="1">
      <alignment horizontal="left" vertical="center"/>
    </xf>
    <xf numFmtId="0" fontId="6" fillId="0" borderId="1" xfId="0" applyFont="1" applyBorder="1" applyAlignment="1">
      <alignment horizontal="left" vertical="center"/>
    </xf>
    <xf numFmtId="0" fontId="48" fillId="5" borderId="35" xfId="0" applyFont="1" applyFill="1" applyBorder="1" applyAlignment="1">
      <alignment vertical="center" wrapText="1"/>
    </xf>
    <xf numFmtId="0" fontId="9" fillId="0" borderId="1" xfId="0" applyFont="1" applyBorder="1" applyAlignment="1">
      <alignment horizontal="right" vertical="top" wrapText="1"/>
    </xf>
    <xf numFmtId="2" fontId="9" fillId="0" borderId="1" xfId="0" applyNumberFormat="1" applyFont="1" applyBorder="1" applyAlignment="1">
      <alignment horizontal="center" vertical="center" wrapText="1"/>
    </xf>
    <xf numFmtId="0" fontId="9" fillId="0" borderId="4" xfId="0" applyFont="1" applyBorder="1" applyAlignment="1">
      <alignment horizontal="left" vertical="top" wrapText="1"/>
    </xf>
    <xf numFmtId="0" fontId="9" fillId="0" borderId="4" xfId="0" applyFont="1" applyBorder="1" applyAlignment="1">
      <alignment horizontal="center" vertical="top" wrapText="1"/>
    </xf>
    <xf numFmtId="0" fontId="6" fillId="0" borderId="5" xfId="0" applyFont="1" applyBorder="1" applyAlignment="1">
      <alignment horizontal="left" vertical="center"/>
    </xf>
    <xf numFmtId="2" fontId="9" fillId="0" borderId="1" xfId="0" applyNumberFormat="1" applyFont="1" applyBorder="1" applyAlignment="1">
      <alignment horizontal="center" vertical="center"/>
    </xf>
    <xf numFmtId="0" fontId="9" fillId="0" borderId="1" xfId="0" applyFont="1" applyBorder="1" applyAlignment="1">
      <alignment vertical="center"/>
    </xf>
    <xf numFmtId="0" fontId="6" fillId="2" borderId="1" xfId="0" applyFont="1" applyFill="1" applyBorder="1" applyAlignment="1">
      <alignment horizontal="left"/>
    </xf>
    <xf numFmtId="0" fontId="6" fillId="0" borderId="1" xfId="0" applyFont="1" applyBorder="1"/>
    <xf numFmtId="0" fontId="9" fillId="0" borderId="1" xfId="0" applyFont="1" applyBorder="1" applyAlignment="1">
      <alignment horizontal="center" vertical="top"/>
    </xf>
    <xf numFmtId="0" fontId="5" fillId="2" borderId="1" xfId="0" applyFont="1" applyFill="1" applyBorder="1" applyAlignment="1">
      <alignment horizontal="center"/>
    </xf>
    <xf numFmtId="0" fontId="9" fillId="0" borderId="1" xfId="0" applyFont="1" applyBorder="1" applyAlignment="1">
      <alignment horizontal="left" vertical="top"/>
    </xf>
    <xf numFmtId="0" fontId="9" fillId="0" borderId="1" xfId="0" applyFont="1" applyBorder="1" applyAlignment="1">
      <alignment vertical="top"/>
    </xf>
    <xf numFmtId="0" fontId="9" fillId="0" borderId="1" xfId="0" applyFont="1" applyBorder="1" applyAlignment="1">
      <alignment horizontal="center"/>
    </xf>
    <xf numFmtId="0" fontId="9" fillId="0" borderId="4" xfId="0" applyFont="1" applyBorder="1" applyAlignment="1">
      <alignment horizontal="left" vertical="top"/>
    </xf>
    <xf numFmtId="0" fontId="6" fillId="0" borderId="2" xfId="0" applyFont="1" applyBorder="1" applyAlignment="1">
      <alignment horizontal="left" vertical="center"/>
    </xf>
    <xf numFmtId="0" fontId="9" fillId="0" borderId="1" xfId="0" applyFont="1" applyBorder="1" applyAlignment="1">
      <alignment horizontal="center" vertical="top" wrapText="1"/>
    </xf>
    <xf numFmtId="0" fontId="37" fillId="0" borderId="1" xfId="0" applyFont="1" applyBorder="1" applyAlignment="1">
      <alignment horizontal="center" vertical="top" wrapText="1"/>
    </xf>
    <xf numFmtId="0" fontId="37" fillId="0" borderId="1" xfId="0" applyFont="1" applyBorder="1" applyAlignment="1">
      <alignment horizontal="center" vertical="top"/>
    </xf>
    <xf numFmtId="0" fontId="37" fillId="0" borderId="1" xfId="0" applyFont="1" applyBorder="1" applyAlignment="1">
      <alignment horizontal="left" vertical="top"/>
    </xf>
    <xf numFmtId="0" fontId="34" fillId="0" borderId="1" xfId="0" applyFont="1" applyBorder="1" applyAlignment="1">
      <alignment vertical="center" wrapText="1"/>
    </xf>
    <xf numFmtId="0" fontId="37" fillId="0" borderId="1" xfId="0" applyFont="1" applyBorder="1" applyAlignment="1">
      <alignment vertical="top"/>
    </xf>
    <xf numFmtId="0" fontId="37" fillId="0" borderId="1" xfId="0" applyFont="1" applyBorder="1" applyAlignment="1">
      <alignment horizontal="left" vertical="top" wrapText="1"/>
    </xf>
    <xf numFmtId="0" fontId="34" fillId="0" borderId="1" xfId="0" applyFont="1" applyBorder="1" applyAlignment="1">
      <alignment horizontal="center" vertical="center" wrapText="1"/>
    </xf>
    <xf numFmtId="0" fontId="33" fillId="0" borderId="0" xfId="0" applyFont="1" applyAlignment="1">
      <alignment horizontal="center"/>
    </xf>
    <xf numFmtId="0" fontId="35" fillId="0" borderId="1" xfId="0" applyFont="1" applyBorder="1" applyAlignment="1">
      <alignment horizontal="center" vertical="center" wrapText="1"/>
    </xf>
    <xf numFmtId="0" fontId="1" fillId="0" borderId="36" xfId="0" applyFont="1" applyBorder="1" applyAlignment="1">
      <alignment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pn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19</xdr:col>
      <xdr:colOff>57150</xdr:colOff>
      <xdr:row>2</xdr:row>
      <xdr:rowOff>142875</xdr:rowOff>
    </xdr:from>
    <xdr:ext cx="1552575" cy="2133600"/>
    <xdr:sp macro="" textlink="">
      <xdr:nvSpPr>
        <xdr:cNvPr id="3" name="Shape 3">
          <a:extLst>
            <a:ext uri="{FF2B5EF4-FFF2-40B4-BE49-F238E27FC236}">
              <a16:creationId xmlns:a16="http://schemas.microsoft.com/office/drawing/2014/main" id="{00000000-0008-0000-0000-000003000000}"/>
            </a:ext>
          </a:extLst>
        </xdr:cNvPr>
        <xdr:cNvSpPr txBox="1"/>
      </xdr:nvSpPr>
      <xdr:spPr>
        <a:xfrm>
          <a:off x="4574475" y="2717963"/>
          <a:ext cx="1543050" cy="2124075"/>
        </a:xfrm>
        <a:prstGeom prst="rect">
          <a:avLst/>
        </a:prstGeom>
        <a:solidFill>
          <a:srgbClr val="FFC000"/>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How to Use:</a:t>
          </a:r>
          <a:endParaRPr sz="1400"/>
        </a:p>
        <a:p>
          <a:pPr marL="0" lvl="0" indent="0" algn="l" rtl="0">
            <a:spcBef>
              <a:spcPts val="0"/>
            </a:spcBef>
            <a:spcAft>
              <a:spcPts val="0"/>
            </a:spcAft>
            <a:buSzPts val="1100"/>
            <a:buFont typeface="Arial"/>
            <a:buNone/>
          </a:pPr>
          <a:endParaRPr sz="1100" b="1"/>
        </a:p>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1. Fill in the forms</a:t>
          </a:r>
          <a:endParaRPr sz="1400"/>
        </a:p>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2. Percentages for SLT will be calculated automatically.</a:t>
          </a:r>
          <a:endParaRPr sz="1400"/>
        </a:p>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3. Use 'Copy Sheet' if you would like to make a copy in a new tab.</a:t>
          </a:r>
          <a:endParaRPr sz="1400"/>
        </a:p>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4. Click 'Update Index' to see the list of Courses that you have and the Percentages.</a:t>
          </a:r>
          <a:endParaRPr sz="1100"/>
        </a:p>
      </xdr:txBody>
    </xdr:sp>
    <xdr:clientData fLocksWithSheet="0"/>
  </xdr:oneCellAnchor>
  <xdr:oneCellAnchor>
    <xdr:from>
      <xdr:col>20</xdr:col>
      <xdr:colOff>0</xdr:colOff>
      <xdr:row>10</xdr:row>
      <xdr:rowOff>0</xdr:rowOff>
    </xdr:from>
    <xdr:ext cx="1790700" cy="876300"/>
    <xdr:sp macro="" textlink="">
      <xdr:nvSpPr>
        <xdr:cNvPr id="4" name="Shape 4">
          <a:extLst>
            <a:ext uri="{FF2B5EF4-FFF2-40B4-BE49-F238E27FC236}">
              <a16:creationId xmlns:a16="http://schemas.microsoft.com/office/drawing/2014/main" id="{00000000-0008-0000-0000-000004000000}"/>
            </a:ext>
          </a:extLst>
        </xdr:cNvPr>
        <xdr:cNvSpPr txBox="1"/>
      </xdr:nvSpPr>
      <xdr:spPr>
        <a:xfrm>
          <a:off x="4455413" y="3346613"/>
          <a:ext cx="1781175" cy="866775"/>
        </a:xfrm>
        <a:prstGeom prst="rect">
          <a:avLst/>
        </a:prstGeom>
        <a:solidFill>
          <a:srgbClr val="FBE4D4"/>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L</a:t>
          </a:r>
          <a:r>
            <a:rPr lang="en-US" sz="1100">
              <a:solidFill>
                <a:schemeClr val="dk1"/>
              </a:solidFill>
              <a:latin typeface="Calibri"/>
              <a:ea typeface="Calibri"/>
              <a:cs typeface="Calibri"/>
              <a:sym typeface="Calibri"/>
            </a:rPr>
            <a:t> = Lecture</a:t>
          </a:r>
          <a:endParaRPr sz="1400"/>
        </a:p>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T</a:t>
          </a:r>
          <a:r>
            <a:rPr lang="en-US" sz="1100">
              <a:solidFill>
                <a:schemeClr val="dk1"/>
              </a:solidFill>
              <a:latin typeface="Calibri"/>
              <a:ea typeface="Calibri"/>
              <a:cs typeface="Calibri"/>
              <a:sym typeface="Calibri"/>
            </a:rPr>
            <a:t>= Tutorial</a:t>
          </a:r>
          <a:endParaRPr sz="1400"/>
        </a:p>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P</a:t>
          </a:r>
          <a:r>
            <a:rPr lang="en-US" sz="1100">
              <a:solidFill>
                <a:schemeClr val="dk1"/>
              </a:solidFill>
              <a:latin typeface="Calibri"/>
              <a:ea typeface="Calibri"/>
              <a:cs typeface="Calibri"/>
              <a:sym typeface="Calibri"/>
            </a:rPr>
            <a:t>= Practical</a:t>
          </a:r>
          <a:endParaRPr sz="1400"/>
        </a:p>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O</a:t>
          </a:r>
          <a:r>
            <a:rPr lang="en-US" sz="1100">
              <a:solidFill>
                <a:schemeClr val="dk1"/>
              </a:solidFill>
              <a:latin typeface="Calibri"/>
              <a:ea typeface="Calibri"/>
              <a:cs typeface="Calibri"/>
              <a:sym typeface="Calibri"/>
            </a:rPr>
            <a:t>= Others</a:t>
          </a:r>
          <a:endParaRPr sz="1400"/>
        </a:p>
      </xdr:txBody>
    </xdr:sp>
    <xdr:clientData fLocksWithSheet="0"/>
  </xdr:oneCellAnchor>
  <xdr:oneCellAnchor>
    <xdr:from>
      <xdr:col>5</xdr:col>
      <xdr:colOff>2362200</xdr:colOff>
      <xdr:row>0</xdr:row>
      <xdr:rowOff>180975</xdr:rowOff>
    </xdr:from>
    <xdr:ext cx="1085850" cy="400050"/>
    <xdr:pic>
      <xdr:nvPicPr>
        <xdr:cNvPr id="2" name="image1.png" title="Image">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20</xdr:col>
      <xdr:colOff>0</xdr:colOff>
      <xdr:row>40</xdr:row>
      <xdr:rowOff>190500</xdr:rowOff>
    </xdr:from>
    <xdr:ext cx="1790700" cy="895350"/>
    <xdr:sp macro="" textlink="">
      <xdr:nvSpPr>
        <xdr:cNvPr id="5" name="Shape 5">
          <a:extLst>
            <a:ext uri="{FF2B5EF4-FFF2-40B4-BE49-F238E27FC236}">
              <a16:creationId xmlns:a16="http://schemas.microsoft.com/office/drawing/2014/main" id="{00000000-0008-0000-0200-000005000000}"/>
            </a:ext>
          </a:extLst>
        </xdr:cNvPr>
        <xdr:cNvSpPr txBox="1"/>
      </xdr:nvSpPr>
      <xdr:spPr>
        <a:xfrm>
          <a:off x="4455413" y="3337088"/>
          <a:ext cx="1781175" cy="885825"/>
        </a:xfrm>
        <a:prstGeom prst="rect">
          <a:avLst/>
        </a:prstGeom>
        <a:solidFill>
          <a:srgbClr val="FBE4D4"/>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Includes reading, discussion with friends/ any learning activities conducted </a:t>
          </a:r>
          <a:r>
            <a:rPr lang="en-US" sz="1100" b="1">
              <a:solidFill>
                <a:schemeClr val="dk1"/>
              </a:solidFill>
              <a:latin typeface="Calibri"/>
              <a:ea typeface="Calibri"/>
              <a:cs typeface="Calibri"/>
              <a:sym typeface="Calibri"/>
            </a:rPr>
            <a:t>independently</a:t>
          </a:r>
          <a:r>
            <a:rPr lang="en-US" sz="1100">
              <a:solidFill>
                <a:schemeClr val="dk1"/>
              </a:solidFill>
              <a:latin typeface="Calibri"/>
              <a:ea typeface="Calibri"/>
              <a:cs typeface="Calibri"/>
              <a:sym typeface="Calibri"/>
            </a:rPr>
            <a:t> </a:t>
          </a:r>
          <a:endParaRPr sz="1100"/>
        </a:p>
      </xdr:txBody>
    </xdr:sp>
    <xdr:clientData fLocksWithSheet="0"/>
  </xdr:oneCellAnchor>
  <xdr:oneCellAnchor>
    <xdr:from>
      <xdr:col>16</xdr:col>
      <xdr:colOff>714375</xdr:colOff>
      <xdr:row>41</xdr:row>
      <xdr:rowOff>0</xdr:rowOff>
    </xdr:from>
    <xdr:ext cx="1514475" cy="895350"/>
    <xdr:grpSp>
      <xdr:nvGrpSpPr>
        <xdr:cNvPr id="2" name="Shape 2">
          <a:extLst>
            <a:ext uri="{FF2B5EF4-FFF2-40B4-BE49-F238E27FC236}">
              <a16:creationId xmlns:a16="http://schemas.microsoft.com/office/drawing/2014/main" id="{00000000-0008-0000-0200-000002000000}"/>
            </a:ext>
          </a:extLst>
        </xdr:cNvPr>
        <xdr:cNvGrpSpPr/>
      </xdr:nvGrpSpPr>
      <xdr:grpSpPr>
        <a:xfrm>
          <a:off x="4478655" y="14889480"/>
          <a:ext cx="1514475" cy="895350"/>
          <a:chOff x="4588763" y="3332325"/>
          <a:chExt cx="1514475" cy="895350"/>
        </a:xfrm>
      </xdr:grpSpPr>
      <xdr:grpSp>
        <xdr:nvGrpSpPr>
          <xdr:cNvPr id="6" name="Shape 6">
            <a:extLst>
              <a:ext uri="{FF2B5EF4-FFF2-40B4-BE49-F238E27FC236}">
                <a16:creationId xmlns:a16="http://schemas.microsoft.com/office/drawing/2014/main" id="{00000000-0008-0000-0200-000006000000}"/>
              </a:ext>
            </a:extLst>
          </xdr:cNvPr>
          <xdr:cNvGrpSpPr/>
        </xdr:nvGrpSpPr>
        <xdr:grpSpPr>
          <a:xfrm>
            <a:off x="4588763" y="3332325"/>
            <a:ext cx="1514475" cy="895350"/>
            <a:chOff x="4588763" y="3332325"/>
            <a:chExt cx="1514475" cy="895350"/>
          </a:xfrm>
        </xdr:grpSpPr>
        <xdr:sp macro="" textlink="">
          <xdr:nvSpPr>
            <xdr:cNvPr id="7" name="Shape 7">
              <a:extLst>
                <a:ext uri="{FF2B5EF4-FFF2-40B4-BE49-F238E27FC236}">
                  <a16:creationId xmlns:a16="http://schemas.microsoft.com/office/drawing/2014/main" id="{00000000-0008-0000-0200-000007000000}"/>
                </a:ext>
              </a:extLst>
            </xdr:cNvPr>
            <xdr:cNvSpPr/>
          </xdr:nvSpPr>
          <xdr:spPr>
            <a:xfrm>
              <a:off x="4588763" y="3332325"/>
              <a:ext cx="1514475" cy="8953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8" name="Shape 8">
              <a:extLst>
                <a:ext uri="{FF2B5EF4-FFF2-40B4-BE49-F238E27FC236}">
                  <a16:creationId xmlns:a16="http://schemas.microsoft.com/office/drawing/2014/main" id="{00000000-0008-0000-0200-000008000000}"/>
                </a:ext>
              </a:extLst>
            </xdr:cNvPr>
            <xdr:cNvGrpSpPr/>
          </xdr:nvGrpSpPr>
          <xdr:grpSpPr>
            <a:xfrm>
              <a:off x="4588763" y="3332325"/>
              <a:ext cx="1514475" cy="895350"/>
              <a:chOff x="4588763" y="3332325"/>
              <a:chExt cx="1514475" cy="895350"/>
            </a:xfrm>
          </xdr:grpSpPr>
          <xdr:sp macro="" textlink="">
            <xdr:nvSpPr>
              <xdr:cNvPr id="9" name="Shape 9">
                <a:extLst>
                  <a:ext uri="{FF2B5EF4-FFF2-40B4-BE49-F238E27FC236}">
                    <a16:creationId xmlns:a16="http://schemas.microsoft.com/office/drawing/2014/main" id="{00000000-0008-0000-0200-000009000000}"/>
                  </a:ext>
                </a:extLst>
              </xdr:cNvPr>
              <xdr:cNvSpPr/>
            </xdr:nvSpPr>
            <xdr:spPr>
              <a:xfrm>
                <a:off x="4588763" y="3332325"/>
                <a:ext cx="1514475" cy="8953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10" name="Shape 10">
                <a:extLst>
                  <a:ext uri="{FF2B5EF4-FFF2-40B4-BE49-F238E27FC236}">
                    <a16:creationId xmlns:a16="http://schemas.microsoft.com/office/drawing/2014/main" id="{00000000-0008-0000-0200-00000A000000}"/>
                  </a:ext>
                </a:extLst>
              </xdr:cNvPr>
              <xdr:cNvGrpSpPr/>
            </xdr:nvGrpSpPr>
            <xdr:grpSpPr>
              <a:xfrm>
                <a:off x="4588763" y="3332325"/>
                <a:ext cx="1514475" cy="895350"/>
                <a:chOff x="4588763" y="3332325"/>
                <a:chExt cx="1514475" cy="895350"/>
              </a:xfrm>
            </xdr:grpSpPr>
            <xdr:sp macro="" textlink="">
              <xdr:nvSpPr>
                <xdr:cNvPr id="11" name="Shape 11">
                  <a:extLst>
                    <a:ext uri="{FF2B5EF4-FFF2-40B4-BE49-F238E27FC236}">
                      <a16:creationId xmlns:a16="http://schemas.microsoft.com/office/drawing/2014/main" id="{00000000-0008-0000-0200-00000B000000}"/>
                    </a:ext>
                  </a:extLst>
                </xdr:cNvPr>
                <xdr:cNvSpPr/>
              </xdr:nvSpPr>
              <xdr:spPr>
                <a:xfrm>
                  <a:off x="4588763" y="3332325"/>
                  <a:ext cx="1514475" cy="8953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12" name="Shape 12">
                  <a:extLst>
                    <a:ext uri="{FF2B5EF4-FFF2-40B4-BE49-F238E27FC236}">
                      <a16:creationId xmlns:a16="http://schemas.microsoft.com/office/drawing/2014/main" id="{00000000-0008-0000-0200-00000C000000}"/>
                    </a:ext>
                  </a:extLst>
                </xdr:cNvPr>
                <xdr:cNvGrpSpPr/>
              </xdr:nvGrpSpPr>
              <xdr:grpSpPr>
                <a:xfrm>
                  <a:off x="4588763" y="3332325"/>
                  <a:ext cx="1514475" cy="895350"/>
                  <a:chOff x="4593525" y="3337088"/>
                  <a:chExt cx="1504950" cy="885825"/>
                </a:xfrm>
              </xdr:grpSpPr>
              <xdr:sp macro="" textlink="">
                <xdr:nvSpPr>
                  <xdr:cNvPr id="13" name="Shape 13">
                    <a:extLst>
                      <a:ext uri="{FF2B5EF4-FFF2-40B4-BE49-F238E27FC236}">
                        <a16:creationId xmlns:a16="http://schemas.microsoft.com/office/drawing/2014/main" id="{00000000-0008-0000-0200-00000D000000}"/>
                      </a:ext>
                    </a:extLst>
                  </xdr:cNvPr>
                  <xdr:cNvSpPr/>
                </xdr:nvSpPr>
                <xdr:spPr>
                  <a:xfrm>
                    <a:off x="4593525" y="3337088"/>
                    <a:ext cx="1504950" cy="8858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14" name="Shape 14">
                    <a:extLst>
                      <a:ext uri="{FF2B5EF4-FFF2-40B4-BE49-F238E27FC236}">
                        <a16:creationId xmlns:a16="http://schemas.microsoft.com/office/drawing/2014/main" id="{00000000-0008-0000-0200-00000E000000}"/>
                      </a:ext>
                    </a:extLst>
                  </xdr:cNvPr>
                  <xdr:cNvCxnSpPr/>
                </xdr:nvCxnSpPr>
                <xdr:spPr>
                  <a:xfrm>
                    <a:off x="4593525" y="3337088"/>
                    <a:ext cx="1504950" cy="885825"/>
                  </a:xfrm>
                  <a:prstGeom prst="straightConnector1">
                    <a:avLst/>
                  </a:prstGeom>
                  <a:noFill/>
                  <a:ln w="9525" cap="flat" cmpd="sng">
                    <a:solidFill>
                      <a:schemeClr val="accent1"/>
                    </a:solidFill>
                    <a:prstDash val="solid"/>
                    <a:miter lim="800000"/>
                    <a:headEnd type="none" w="sm" len="sm"/>
                    <a:tailEnd type="none" w="sm" len="sm"/>
                  </a:ln>
                </xdr:spPr>
              </xdr:cxnSp>
            </xdr:grpSp>
          </xdr:grpSp>
        </xdr:grpSp>
      </xdr:grpSp>
    </xdr:grpSp>
    <xdr:clientData fLocksWithSheet="0"/>
  </xdr:oneCellAnchor>
  <xdr:oneCellAnchor>
    <xdr:from>
      <xdr:col>20</xdr:col>
      <xdr:colOff>0</xdr:colOff>
      <xdr:row>44</xdr:row>
      <xdr:rowOff>0</xdr:rowOff>
    </xdr:from>
    <xdr:ext cx="1781175" cy="1209675"/>
    <xdr:sp macro="" textlink="">
      <xdr:nvSpPr>
        <xdr:cNvPr id="15" name="Shape 15">
          <a:extLst>
            <a:ext uri="{FF2B5EF4-FFF2-40B4-BE49-F238E27FC236}">
              <a16:creationId xmlns:a16="http://schemas.microsoft.com/office/drawing/2014/main" id="{00000000-0008-0000-0200-00000F000000}"/>
            </a:ext>
          </a:extLst>
        </xdr:cNvPr>
        <xdr:cNvSpPr txBox="1"/>
      </xdr:nvSpPr>
      <xdr:spPr>
        <a:xfrm>
          <a:off x="4460175" y="3179925"/>
          <a:ext cx="1771650" cy="1200150"/>
        </a:xfrm>
        <a:prstGeom prst="rect">
          <a:avLst/>
        </a:prstGeom>
        <a:solidFill>
          <a:srgbClr val="FBE4D4"/>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Includes online forum discussion tasks assigned to students, online homework, pre-recorded video that has to be watched online </a:t>
          </a:r>
          <a:r>
            <a:rPr lang="en-US" sz="1100" b="1">
              <a:solidFill>
                <a:schemeClr val="dk1"/>
              </a:solidFill>
              <a:latin typeface="Calibri"/>
              <a:ea typeface="Calibri"/>
              <a:cs typeface="Calibri"/>
              <a:sym typeface="Calibri"/>
            </a:rPr>
            <a:t>independently</a:t>
          </a:r>
          <a:endParaRPr sz="1100" b="1"/>
        </a:p>
      </xdr:txBody>
    </xdr:sp>
    <xdr:clientData fLocksWithSheet="0"/>
  </xdr:oneCellAnchor>
  <xdr:oneCellAnchor>
    <xdr:from>
      <xdr:col>14</xdr:col>
      <xdr:colOff>19050</xdr:colOff>
      <xdr:row>40</xdr:row>
      <xdr:rowOff>447675</xdr:rowOff>
    </xdr:from>
    <xdr:ext cx="2876550" cy="2295525"/>
    <xdr:grpSp>
      <xdr:nvGrpSpPr>
        <xdr:cNvPr id="3" name="Shape 2">
          <a:extLst>
            <a:ext uri="{FF2B5EF4-FFF2-40B4-BE49-F238E27FC236}">
              <a16:creationId xmlns:a16="http://schemas.microsoft.com/office/drawing/2014/main" id="{00000000-0008-0000-0200-000003000000}"/>
            </a:ext>
          </a:extLst>
        </xdr:cNvPr>
        <xdr:cNvGrpSpPr/>
      </xdr:nvGrpSpPr>
      <xdr:grpSpPr>
        <a:xfrm>
          <a:off x="3105150" y="14750415"/>
          <a:ext cx="2876550" cy="2295525"/>
          <a:chOff x="3907725" y="2632238"/>
          <a:chExt cx="2876550" cy="2295525"/>
        </a:xfrm>
      </xdr:grpSpPr>
      <xdr:grpSp>
        <xdr:nvGrpSpPr>
          <xdr:cNvPr id="16" name="Shape 16">
            <a:extLst>
              <a:ext uri="{FF2B5EF4-FFF2-40B4-BE49-F238E27FC236}">
                <a16:creationId xmlns:a16="http://schemas.microsoft.com/office/drawing/2014/main" id="{00000000-0008-0000-0200-000010000000}"/>
              </a:ext>
            </a:extLst>
          </xdr:cNvPr>
          <xdr:cNvGrpSpPr/>
        </xdr:nvGrpSpPr>
        <xdr:grpSpPr>
          <a:xfrm>
            <a:off x="3907725" y="2632238"/>
            <a:ext cx="2876550" cy="2295525"/>
            <a:chOff x="3907725" y="2632238"/>
            <a:chExt cx="2876550" cy="2295525"/>
          </a:xfrm>
        </xdr:grpSpPr>
        <xdr:sp macro="" textlink="">
          <xdr:nvSpPr>
            <xdr:cNvPr id="4" name="Shape 7">
              <a:extLst>
                <a:ext uri="{FF2B5EF4-FFF2-40B4-BE49-F238E27FC236}">
                  <a16:creationId xmlns:a16="http://schemas.microsoft.com/office/drawing/2014/main" id="{00000000-0008-0000-0200-000004000000}"/>
                </a:ext>
              </a:extLst>
            </xdr:cNvPr>
            <xdr:cNvSpPr/>
          </xdr:nvSpPr>
          <xdr:spPr>
            <a:xfrm>
              <a:off x="3907725" y="2632238"/>
              <a:ext cx="2876550" cy="22955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17" name="Shape 17">
              <a:extLst>
                <a:ext uri="{FF2B5EF4-FFF2-40B4-BE49-F238E27FC236}">
                  <a16:creationId xmlns:a16="http://schemas.microsoft.com/office/drawing/2014/main" id="{00000000-0008-0000-0200-000011000000}"/>
                </a:ext>
              </a:extLst>
            </xdr:cNvPr>
            <xdr:cNvGrpSpPr/>
          </xdr:nvGrpSpPr>
          <xdr:grpSpPr>
            <a:xfrm>
              <a:off x="3907725" y="2632238"/>
              <a:ext cx="2876550" cy="2295525"/>
              <a:chOff x="3907725" y="2632238"/>
              <a:chExt cx="2876550" cy="2295525"/>
            </a:xfrm>
          </xdr:grpSpPr>
          <xdr:sp macro="" textlink="">
            <xdr:nvSpPr>
              <xdr:cNvPr id="18" name="Shape 18">
                <a:extLst>
                  <a:ext uri="{FF2B5EF4-FFF2-40B4-BE49-F238E27FC236}">
                    <a16:creationId xmlns:a16="http://schemas.microsoft.com/office/drawing/2014/main" id="{00000000-0008-0000-0200-000012000000}"/>
                  </a:ext>
                </a:extLst>
              </xdr:cNvPr>
              <xdr:cNvSpPr/>
            </xdr:nvSpPr>
            <xdr:spPr>
              <a:xfrm>
                <a:off x="3907725" y="2632238"/>
                <a:ext cx="2876550" cy="22955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19" name="Shape 19">
                <a:extLst>
                  <a:ext uri="{FF2B5EF4-FFF2-40B4-BE49-F238E27FC236}">
                    <a16:creationId xmlns:a16="http://schemas.microsoft.com/office/drawing/2014/main" id="{00000000-0008-0000-0200-000013000000}"/>
                  </a:ext>
                </a:extLst>
              </xdr:cNvPr>
              <xdr:cNvGrpSpPr/>
            </xdr:nvGrpSpPr>
            <xdr:grpSpPr>
              <a:xfrm>
                <a:off x="3907725" y="2632238"/>
                <a:ext cx="2876550" cy="2295525"/>
                <a:chOff x="3907725" y="2632238"/>
                <a:chExt cx="2876550" cy="2295525"/>
              </a:xfrm>
            </xdr:grpSpPr>
            <xdr:sp macro="" textlink="">
              <xdr:nvSpPr>
                <xdr:cNvPr id="20" name="Shape 20">
                  <a:extLst>
                    <a:ext uri="{FF2B5EF4-FFF2-40B4-BE49-F238E27FC236}">
                      <a16:creationId xmlns:a16="http://schemas.microsoft.com/office/drawing/2014/main" id="{00000000-0008-0000-0200-000014000000}"/>
                    </a:ext>
                  </a:extLst>
                </xdr:cNvPr>
                <xdr:cNvSpPr/>
              </xdr:nvSpPr>
              <xdr:spPr>
                <a:xfrm>
                  <a:off x="3907725" y="2632238"/>
                  <a:ext cx="2876550" cy="22955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21" name="Shape 21">
                  <a:extLst>
                    <a:ext uri="{FF2B5EF4-FFF2-40B4-BE49-F238E27FC236}">
                      <a16:creationId xmlns:a16="http://schemas.microsoft.com/office/drawing/2014/main" id="{00000000-0008-0000-0200-000015000000}"/>
                    </a:ext>
                  </a:extLst>
                </xdr:cNvPr>
                <xdr:cNvGrpSpPr/>
              </xdr:nvGrpSpPr>
              <xdr:grpSpPr>
                <a:xfrm>
                  <a:off x="3907725" y="2632238"/>
                  <a:ext cx="2876550" cy="2295525"/>
                  <a:chOff x="3912488" y="2637000"/>
                  <a:chExt cx="2867025" cy="2286000"/>
                </a:xfrm>
              </xdr:grpSpPr>
              <xdr:sp macro="" textlink="">
                <xdr:nvSpPr>
                  <xdr:cNvPr id="22" name="Shape 22">
                    <a:extLst>
                      <a:ext uri="{FF2B5EF4-FFF2-40B4-BE49-F238E27FC236}">
                        <a16:creationId xmlns:a16="http://schemas.microsoft.com/office/drawing/2014/main" id="{00000000-0008-0000-0200-000016000000}"/>
                      </a:ext>
                    </a:extLst>
                  </xdr:cNvPr>
                  <xdr:cNvSpPr/>
                </xdr:nvSpPr>
                <xdr:spPr>
                  <a:xfrm>
                    <a:off x="3912488" y="2637000"/>
                    <a:ext cx="2867025" cy="22860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23" name="Shape 23">
                    <a:extLst>
                      <a:ext uri="{FF2B5EF4-FFF2-40B4-BE49-F238E27FC236}">
                        <a16:creationId xmlns:a16="http://schemas.microsoft.com/office/drawing/2014/main" id="{00000000-0008-0000-0200-000017000000}"/>
                      </a:ext>
                    </a:extLst>
                  </xdr:cNvPr>
                  <xdr:cNvCxnSpPr/>
                </xdr:nvCxnSpPr>
                <xdr:spPr>
                  <a:xfrm>
                    <a:off x="3912488" y="2637000"/>
                    <a:ext cx="2867025" cy="2286000"/>
                  </a:xfrm>
                  <a:prstGeom prst="straightConnector1">
                    <a:avLst/>
                  </a:prstGeom>
                  <a:noFill/>
                  <a:ln w="9525" cap="flat" cmpd="sng">
                    <a:solidFill>
                      <a:schemeClr val="accent1"/>
                    </a:solidFill>
                    <a:prstDash val="solid"/>
                    <a:miter lim="800000"/>
                    <a:headEnd type="none" w="sm" len="sm"/>
                    <a:tailEnd type="none" w="sm" len="sm"/>
                  </a:ln>
                </xdr:spPr>
              </xdr:cxnSp>
            </xdr:grpSp>
          </xdr:grpSp>
        </xdr:grpSp>
      </xdr:grpSp>
    </xdr:grpSp>
    <xdr:clientData fLocksWithSheet="0"/>
  </xdr:oneCellAnchor>
  <xdr:oneCellAnchor>
    <xdr:from>
      <xdr:col>20</xdr:col>
      <xdr:colOff>0</xdr:colOff>
      <xdr:row>49</xdr:row>
      <xdr:rowOff>0</xdr:rowOff>
    </xdr:from>
    <xdr:ext cx="1781175" cy="1209675"/>
    <xdr:sp macro="" textlink="">
      <xdr:nvSpPr>
        <xdr:cNvPr id="24" name="Shape 24">
          <a:extLst>
            <a:ext uri="{FF2B5EF4-FFF2-40B4-BE49-F238E27FC236}">
              <a16:creationId xmlns:a16="http://schemas.microsoft.com/office/drawing/2014/main" id="{00000000-0008-0000-0200-000018000000}"/>
            </a:ext>
          </a:extLst>
        </xdr:cNvPr>
        <xdr:cNvSpPr txBox="1"/>
      </xdr:nvSpPr>
      <xdr:spPr>
        <a:xfrm>
          <a:off x="4460175" y="3179925"/>
          <a:ext cx="1771650" cy="1200150"/>
        </a:xfrm>
        <a:prstGeom prst="rect">
          <a:avLst/>
        </a:prstGeom>
        <a:solidFill>
          <a:srgbClr val="FBE4D4"/>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Includes synchronous lecture, in-class online activities, in-class online quiz that is </a:t>
          </a:r>
          <a:r>
            <a:rPr lang="en-US" sz="1100" b="1">
              <a:solidFill>
                <a:schemeClr val="dk1"/>
              </a:solidFill>
              <a:latin typeface="Calibri"/>
              <a:ea typeface="Calibri"/>
              <a:cs typeface="Calibri"/>
              <a:sym typeface="Calibri"/>
            </a:rPr>
            <a:t>guided by the instructor</a:t>
          </a:r>
          <a:endParaRPr sz="1100" b="1"/>
        </a:p>
      </xdr:txBody>
    </xdr:sp>
    <xdr:clientData fLocksWithSheet="0"/>
  </xdr:oneCellAnchor>
  <xdr:oneCellAnchor>
    <xdr:from>
      <xdr:col>10</xdr:col>
      <xdr:colOff>104775</xdr:colOff>
      <xdr:row>40</xdr:row>
      <xdr:rowOff>447675</xdr:rowOff>
    </xdr:from>
    <xdr:ext cx="3571875" cy="3562350"/>
    <xdr:grpSp>
      <xdr:nvGrpSpPr>
        <xdr:cNvPr id="25" name="Shape 2">
          <a:extLst>
            <a:ext uri="{FF2B5EF4-FFF2-40B4-BE49-F238E27FC236}">
              <a16:creationId xmlns:a16="http://schemas.microsoft.com/office/drawing/2014/main" id="{00000000-0008-0000-0200-000019000000}"/>
            </a:ext>
          </a:extLst>
        </xdr:cNvPr>
        <xdr:cNvGrpSpPr/>
      </xdr:nvGrpSpPr>
      <xdr:grpSpPr>
        <a:xfrm>
          <a:off x="2398395" y="14750415"/>
          <a:ext cx="3571875" cy="3562350"/>
          <a:chOff x="3560063" y="1998825"/>
          <a:chExt cx="3571875" cy="3562350"/>
        </a:xfrm>
      </xdr:grpSpPr>
      <xdr:grpSp>
        <xdr:nvGrpSpPr>
          <xdr:cNvPr id="26" name="Shape 25">
            <a:extLst>
              <a:ext uri="{FF2B5EF4-FFF2-40B4-BE49-F238E27FC236}">
                <a16:creationId xmlns:a16="http://schemas.microsoft.com/office/drawing/2014/main" id="{00000000-0008-0000-0200-00001A000000}"/>
              </a:ext>
            </a:extLst>
          </xdr:cNvPr>
          <xdr:cNvGrpSpPr/>
        </xdr:nvGrpSpPr>
        <xdr:grpSpPr>
          <a:xfrm>
            <a:off x="3560063" y="1998825"/>
            <a:ext cx="3571875" cy="3562350"/>
            <a:chOff x="3560063" y="1998825"/>
            <a:chExt cx="3571875" cy="3562350"/>
          </a:xfrm>
        </xdr:grpSpPr>
        <xdr:sp macro="" textlink="">
          <xdr:nvSpPr>
            <xdr:cNvPr id="27" name="Shape 7">
              <a:extLst>
                <a:ext uri="{FF2B5EF4-FFF2-40B4-BE49-F238E27FC236}">
                  <a16:creationId xmlns:a16="http://schemas.microsoft.com/office/drawing/2014/main" id="{00000000-0008-0000-0200-00001B000000}"/>
                </a:ext>
              </a:extLst>
            </xdr:cNvPr>
            <xdr:cNvSpPr/>
          </xdr:nvSpPr>
          <xdr:spPr>
            <a:xfrm>
              <a:off x="3560063" y="1998825"/>
              <a:ext cx="3571875" cy="35623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28" name="Shape 26">
              <a:extLst>
                <a:ext uri="{FF2B5EF4-FFF2-40B4-BE49-F238E27FC236}">
                  <a16:creationId xmlns:a16="http://schemas.microsoft.com/office/drawing/2014/main" id="{00000000-0008-0000-0200-00001C000000}"/>
                </a:ext>
              </a:extLst>
            </xdr:cNvPr>
            <xdr:cNvGrpSpPr/>
          </xdr:nvGrpSpPr>
          <xdr:grpSpPr>
            <a:xfrm>
              <a:off x="3560063" y="1998825"/>
              <a:ext cx="3571875" cy="3562350"/>
              <a:chOff x="3560063" y="1998825"/>
              <a:chExt cx="3571875" cy="3562350"/>
            </a:xfrm>
          </xdr:grpSpPr>
          <xdr:sp macro="" textlink="">
            <xdr:nvSpPr>
              <xdr:cNvPr id="29" name="Shape 27">
                <a:extLst>
                  <a:ext uri="{FF2B5EF4-FFF2-40B4-BE49-F238E27FC236}">
                    <a16:creationId xmlns:a16="http://schemas.microsoft.com/office/drawing/2014/main" id="{00000000-0008-0000-0200-00001D000000}"/>
                  </a:ext>
                </a:extLst>
              </xdr:cNvPr>
              <xdr:cNvSpPr/>
            </xdr:nvSpPr>
            <xdr:spPr>
              <a:xfrm>
                <a:off x="3560063" y="1998825"/>
                <a:ext cx="3571875" cy="35623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30" name="Shape 28">
                <a:extLst>
                  <a:ext uri="{FF2B5EF4-FFF2-40B4-BE49-F238E27FC236}">
                    <a16:creationId xmlns:a16="http://schemas.microsoft.com/office/drawing/2014/main" id="{00000000-0008-0000-0200-00001E000000}"/>
                  </a:ext>
                </a:extLst>
              </xdr:cNvPr>
              <xdr:cNvGrpSpPr/>
            </xdr:nvGrpSpPr>
            <xdr:grpSpPr>
              <a:xfrm>
                <a:off x="3560063" y="1998825"/>
                <a:ext cx="3571875" cy="3562350"/>
                <a:chOff x="3560063" y="1998825"/>
                <a:chExt cx="3571875" cy="3562350"/>
              </a:xfrm>
            </xdr:grpSpPr>
            <xdr:sp macro="" textlink="">
              <xdr:nvSpPr>
                <xdr:cNvPr id="31" name="Shape 29">
                  <a:extLst>
                    <a:ext uri="{FF2B5EF4-FFF2-40B4-BE49-F238E27FC236}">
                      <a16:creationId xmlns:a16="http://schemas.microsoft.com/office/drawing/2014/main" id="{00000000-0008-0000-0200-00001F000000}"/>
                    </a:ext>
                  </a:extLst>
                </xdr:cNvPr>
                <xdr:cNvSpPr/>
              </xdr:nvSpPr>
              <xdr:spPr>
                <a:xfrm>
                  <a:off x="3560063" y="1998825"/>
                  <a:ext cx="3571875" cy="35623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32" name="Shape 30">
                  <a:extLst>
                    <a:ext uri="{FF2B5EF4-FFF2-40B4-BE49-F238E27FC236}">
                      <a16:creationId xmlns:a16="http://schemas.microsoft.com/office/drawing/2014/main" id="{00000000-0008-0000-0200-000020000000}"/>
                    </a:ext>
                  </a:extLst>
                </xdr:cNvPr>
                <xdr:cNvGrpSpPr/>
              </xdr:nvGrpSpPr>
              <xdr:grpSpPr>
                <a:xfrm>
                  <a:off x="3560063" y="1998825"/>
                  <a:ext cx="3571875" cy="3562350"/>
                  <a:chOff x="3564825" y="2003588"/>
                  <a:chExt cx="3562350" cy="3552825"/>
                </a:xfrm>
              </xdr:grpSpPr>
              <xdr:sp macro="" textlink="">
                <xdr:nvSpPr>
                  <xdr:cNvPr id="33" name="Shape 31">
                    <a:extLst>
                      <a:ext uri="{FF2B5EF4-FFF2-40B4-BE49-F238E27FC236}">
                        <a16:creationId xmlns:a16="http://schemas.microsoft.com/office/drawing/2014/main" id="{00000000-0008-0000-0200-000021000000}"/>
                      </a:ext>
                    </a:extLst>
                  </xdr:cNvPr>
                  <xdr:cNvSpPr/>
                </xdr:nvSpPr>
                <xdr:spPr>
                  <a:xfrm>
                    <a:off x="3564825" y="2003588"/>
                    <a:ext cx="3562350" cy="35528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34" name="Shape 32">
                    <a:extLst>
                      <a:ext uri="{FF2B5EF4-FFF2-40B4-BE49-F238E27FC236}">
                        <a16:creationId xmlns:a16="http://schemas.microsoft.com/office/drawing/2014/main" id="{00000000-0008-0000-0200-000022000000}"/>
                      </a:ext>
                    </a:extLst>
                  </xdr:cNvPr>
                  <xdr:cNvCxnSpPr/>
                </xdr:nvCxnSpPr>
                <xdr:spPr>
                  <a:xfrm>
                    <a:off x="3564825" y="2003588"/>
                    <a:ext cx="3562350" cy="3552825"/>
                  </a:xfrm>
                  <a:prstGeom prst="straightConnector1">
                    <a:avLst/>
                  </a:prstGeom>
                  <a:noFill/>
                  <a:ln w="9525" cap="flat" cmpd="sng">
                    <a:solidFill>
                      <a:schemeClr val="accent1"/>
                    </a:solidFill>
                    <a:prstDash val="solid"/>
                    <a:miter lim="800000"/>
                    <a:headEnd type="none" w="sm" len="sm"/>
                    <a:tailEnd type="none" w="sm" len="sm"/>
                  </a:ln>
                </xdr:spPr>
              </xdr:cxnSp>
            </xdr:grpSp>
          </xdr:grpSp>
        </xdr:grpSp>
      </xdr:grpSp>
    </xdr:grpSp>
    <xdr:clientData fLocksWithSheet="0"/>
  </xdr:oneCellAnchor>
  <xdr:oneCellAnchor>
    <xdr:from>
      <xdr:col>20</xdr:col>
      <xdr:colOff>0</xdr:colOff>
      <xdr:row>54</xdr:row>
      <xdr:rowOff>9525</xdr:rowOff>
    </xdr:from>
    <xdr:ext cx="1781175" cy="1219200"/>
    <xdr:sp macro="" textlink="">
      <xdr:nvSpPr>
        <xdr:cNvPr id="35" name="Shape 33">
          <a:extLst>
            <a:ext uri="{FF2B5EF4-FFF2-40B4-BE49-F238E27FC236}">
              <a16:creationId xmlns:a16="http://schemas.microsoft.com/office/drawing/2014/main" id="{00000000-0008-0000-0200-000023000000}"/>
            </a:ext>
          </a:extLst>
        </xdr:cNvPr>
        <xdr:cNvSpPr txBox="1"/>
      </xdr:nvSpPr>
      <xdr:spPr>
        <a:xfrm>
          <a:off x="4460175" y="3175163"/>
          <a:ext cx="1771650" cy="1209675"/>
        </a:xfrm>
        <a:prstGeom prst="rect">
          <a:avLst/>
        </a:prstGeom>
        <a:solidFill>
          <a:srgbClr val="FBE4D4"/>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Includes face-to-face physical lecture, in-class face activities, in-class assessment that is </a:t>
          </a:r>
          <a:r>
            <a:rPr lang="en-US" sz="1100" b="1">
              <a:solidFill>
                <a:schemeClr val="dk1"/>
              </a:solidFill>
              <a:latin typeface="Calibri"/>
              <a:ea typeface="Calibri"/>
              <a:cs typeface="Calibri"/>
              <a:sym typeface="Calibri"/>
            </a:rPr>
            <a:t>guided by the instructor</a:t>
          </a:r>
          <a:endParaRPr sz="1100" b="1"/>
        </a:p>
      </xdr:txBody>
    </xdr:sp>
    <xdr:clientData fLocksWithSheet="0"/>
  </xdr:oneCellAnchor>
  <xdr:oneCellAnchor>
    <xdr:from>
      <xdr:col>7</xdr:col>
      <xdr:colOff>114300</xdr:colOff>
      <xdr:row>40</xdr:row>
      <xdr:rowOff>495300</xdr:rowOff>
    </xdr:from>
    <xdr:ext cx="885825" cy="314325"/>
    <xdr:sp macro="" textlink="">
      <xdr:nvSpPr>
        <xdr:cNvPr id="36" name="Shape 34">
          <a:extLst>
            <a:ext uri="{FF2B5EF4-FFF2-40B4-BE49-F238E27FC236}">
              <a16:creationId xmlns:a16="http://schemas.microsoft.com/office/drawing/2014/main" id="{00000000-0008-0000-0200-000024000000}"/>
            </a:ext>
          </a:extLst>
        </xdr:cNvPr>
        <xdr:cNvSpPr/>
      </xdr:nvSpPr>
      <xdr:spPr>
        <a:xfrm>
          <a:off x="4907850" y="3627600"/>
          <a:ext cx="876300" cy="304800"/>
        </a:xfrm>
        <a:prstGeom prst="rect">
          <a:avLst/>
        </a:prstGeom>
        <a:noFill/>
        <a:ln w="12700" cap="flat" cmpd="sng">
          <a:solidFill>
            <a:srgbClr val="C00000"/>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9</xdr:col>
      <xdr:colOff>180975</xdr:colOff>
      <xdr:row>36</xdr:row>
      <xdr:rowOff>114300</xdr:rowOff>
    </xdr:from>
    <xdr:ext cx="3705225" cy="1581150"/>
    <xdr:grpSp>
      <xdr:nvGrpSpPr>
        <xdr:cNvPr id="37" name="Shape 2">
          <a:extLst>
            <a:ext uri="{FF2B5EF4-FFF2-40B4-BE49-F238E27FC236}">
              <a16:creationId xmlns:a16="http://schemas.microsoft.com/office/drawing/2014/main" id="{00000000-0008-0000-0200-000025000000}"/>
            </a:ext>
          </a:extLst>
        </xdr:cNvPr>
        <xdr:cNvGrpSpPr/>
      </xdr:nvGrpSpPr>
      <xdr:grpSpPr>
        <a:xfrm>
          <a:off x="2261235" y="13274040"/>
          <a:ext cx="3705225" cy="1581150"/>
          <a:chOff x="3493388" y="2989425"/>
          <a:chExt cx="3705225" cy="1581150"/>
        </a:xfrm>
      </xdr:grpSpPr>
      <xdr:grpSp>
        <xdr:nvGrpSpPr>
          <xdr:cNvPr id="38" name="Shape 35">
            <a:extLst>
              <a:ext uri="{FF2B5EF4-FFF2-40B4-BE49-F238E27FC236}">
                <a16:creationId xmlns:a16="http://schemas.microsoft.com/office/drawing/2014/main" id="{00000000-0008-0000-0200-000026000000}"/>
              </a:ext>
            </a:extLst>
          </xdr:cNvPr>
          <xdr:cNvGrpSpPr/>
        </xdr:nvGrpSpPr>
        <xdr:grpSpPr>
          <a:xfrm>
            <a:off x="3493388" y="2989425"/>
            <a:ext cx="3705225" cy="1581150"/>
            <a:chOff x="3493388" y="2989425"/>
            <a:chExt cx="3705225" cy="1581150"/>
          </a:xfrm>
        </xdr:grpSpPr>
        <xdr:sp macro="" textlink="">
          <xdr:nvSpPr>
            <xdr:cNvPr id="39" name="Shape 7">
              <a:extLst>
                <a:ext uri="{FF2B5EF4-FFF2-40B4-BE49-F238E27FC236}">
                  <a16:creationId xmlns:a16="http://schemas.microsoft.com/office/drawing/2014/main" id="{00000000-0008-0000-0200-000027000000}"/>
                </a:ext>
              </a:extLst>
            </xdr:cNvPr>
            <xdr:cNvSpPr/>
          </xdr:nvSpPr>
          <xdr:spPr>
            <a:xfrm>
              <a:off x="3493388" y="2989425"/>
              <a:ext cx="3705225" cy="15811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40" name="Shape 36">
              <a:extLst>
                <a:ext uri="{FF2B5EF4-FFF2-40B4-BE49-F238E27FC236}">
                  <a16:creationId xmlns:a16="http://schemas.microsoft.com/office/drawing/2014/main" id="{00000000-0008-0000-0200-000028000000}"/>
                </a:ext>
              </a:extLst>
            </xdr:cNvPr>
            <xdr:cNvGrpSpPr/>
          </xdr:nvGrpSpPr>
          <xdr:grpSpPr>
            <a:xfrm>
              <a:off x="3493388" y="2989425"/>
              <a:ext cx="3705225" cy="1581150"/>
              <a:chOff x="3493388" y="2989425"/>
              <a:chExt cx="3705225" cy="1581150"/>
            </a:xfrm>
          </xdr:grpSpPr>
          <xdr:sp macro="" textlink="">
            <xdr:nvSpPr>
              <xdr:cNvPr id="41" name="Shape 37">
                <a:extLst>
                  <a:ext uri="{FF2B5EF4-FFF2-40B4-BE49-F238E27FC236}">
                    <a16:creationId xmlns:a16="http://schemas.microsoft.com/office/drawing/2014/main" id="{00000000-0008-0000-0200-000029000000}"/>
                  </a:ext>
                </a:extLst>
              </xdr:cNvPr>
              <xdr:cNvSpPr/>
            </xdr:nvSpPr>
            <xdr:spPr>
              <a:xfrm>
                <a:off x="3493388" y="2989425"/>
                <a:ext cx="3705225" cy="15811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42" name="Shape 38">
                <a:extLst>
                  <a:ext uri="{FF2B5EF4-FFF2-40B4-BE49-F238E27FC236}">
                    <a16:creationId xmlns:a16="http://schemas.microsoft.com/office/drawing/2014/main" id="{00000000-0008-0000-0200-00002A000000}"/>
                  </a:ext>
                </a:extLst>
              </xdr:cNvPr>
              <xdr:cNvGrpSpPr/>
            </xdr:nvGrpSpPr>
            <xdr:grpSpPr>
              <a:xfrm>
                <a:off x="3493388" y="2989425"/>
                <a:ext cx="3705225" cy="1581150"/>
                <a:chOff x="3493388" y="2989425"/>
                <a:chExt cx="3705225" cy="1581150"/>
              </a:xfrm>
            </xdr:grpSpPr>
            <xdr:sp macro="" textlink="">
              <xdr:nvSpPr>
                <xdr:cNvPr id="43" name="Shape 39">
                  <a:extLst>
                    <a:ext uri="{FF2B5EF4-FFF2-40B4-BE49-F238E27FC236}">
                      <a16:creationId xmlns:a16="http://schemas.microsoft.com/office/drawing/2014/main" id="{00000000-0008-0000-0200-00002B000000}"/>
                    </a:ext>
                  </a:extLst>
                </xdr:cNvPr>
                <xdr:cNvSpPr/>
              </xdr:nvSpPr>
              <xdr:spPr>
                <a:xfrm>
                  <a:off x="3493388" y="2989425"/>
                  <a:ext cx="3705225" cy="15811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44" name="Shape 40">
                  <a:extLst>
                    <a:ext uri="{FF2B5EF4-FFF2-40B4-BE49-F238E27FC236}">
                      <a16:creationId xmlns:a16="http://schemas.microsoft.com/office/drawing/2014/main" id="{00000000-0008-0000-0200-00002C000000}"/>
                    </a:ext>
                  </a:extLst>
                </xdr:cNvPr>
                <xdr:cNvGrpSpPr/>
              </xdr:nvGrpSpPr>
              <xdr:grpSpPr>
                <a:xfrm>
                  <a:off x="3493388" y="2989425"/>
                  <a:ext cx="3705225" cy="1581150"/>
                  <a:chOff x="3498150" y="2994113"/>
                  <a:chExt cx="3695700" cy="1571700"/>
                </a:xfrm>
              </xdr:grpSpPr>
              <xdr:sp macro="" textlink="">
                <xdr:nvSpPr>
                  <xdr:cNvPr id="45" name="Shape 41">
                    <a:extLst>
                      <a:ext uri="{FF2B5EF4-FFF2-40B4-BE49-F238E27FC236}">
                        <a16:creationId xmlns:a16="http://schemas.microsoft.com/office/drawing/2014/main" id="{00000000-0008-0000-0200-00002D000000}"/>
                      </a:ext>
                    </a:extLst>
                  </xdr:cNvPr>
                  <xdr:cNvSpPr/>
                </xdr:nvSpPr>
                <xdr:spPr>
                  <a:xfrm>
                    <a:off x="3498150" y="2994113"/>
                    <a:ext cx="3695700" cy="15717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46" name="Shape 42">
                    <a:extLst>
                      <a:ext uri="{FF2B5EF4-FFF2-40B4-BE49-F238E27FC236}">
                        <a16:creationId xmlns:a16="http://schemas.microsoft.com/office/drawing/2014/main" id="{00000000-0008-0000-0200-00002E000000}"/>
                      </a:ext>
                    </a:extLst>
                  </xdr:cNvPr>
                  <xdr:cNvCxnSpPr>
                    <a:stCxn id="28" idx="0"/>
                  </xdr:cNvCxnSpPr>
                </xdr:nvCxnSpPr>
                <xdr:spPr>
                  <a:xfrm rot="10800000" flipH="1">
                    <a:off x="3498150" y="2994113"/>
                    <a:ext cx="3695700" cy="1571700"/>
                  </a:xfrm>
                  <a:prstGeom prst="bentConnector2">
                    <a:avLst/>
                  </a:prstGeom>
                  <a:noFill/>
                  <a:ln w="9525" cap="flat" cmpd="sng">
                    <a:solidFill>
                      <a:schemeClr val="accent1"/>
                    </a:solidFill>
                    <a:prstDash val="solid"/>
                    <a:miter lim="800000"/>
                    <a:headEnd type="none" w="sm" len="sm"/>
                    <a:tailEnd type="triangle" w="med" len="med"/>
                  </a:ln>
                </xdr:spPr>
              </xdr:cxnSp>
            </xdr:grpSp>
          </xdr:grpSp>
        </xdr:grpSp>
      </xdr:grpSp>
    </xdr:grpSp>
    <xdr:clientData fLocksWithSheet="0"/>
  </xdr:oneCellAnchor>
  <xdr:oneCellAnchor>
    <xdr:from>
      <xdr:col>20</xdr:col>
      <xdr:colOff>0</xdr:colOff>
      <xdr:row>36</xdr:row>
      <xdr:rowOff>0</xdr:rowOff>
    </xdr:from>
    <xdr:ext cx="1790700" cy="876300"/>
    <xdr:sp macro="" textlink="">
      <xdr:nvSpPr>
        <xdr:cNvPr id="47" name="Shape 43">
          <a:extLst>
            <a:ext uri="{FF2B5EF4-FFF2-40B4-BE49-F238E27FC236}">
              <a16:creationId xmlns:a16="http://schemas.microsoft.com/office/drawing/2014/main" id="{00000000-0008-0000-0200-00002F000000}"/>
            </a:ext>
          </a:extLst>
        </xdr:cNvPr>
        <xdr:cNvSpPr txBox="1"/>
      </xdr:nvSpPr>
      <xdr:spPr>
        <a:xfrm>
          <a:off x="4455413" y="3346613"/>
          <a:ext cx="1781175" cy="866775"/>
        </a:xfrm>
        <a:prstGeom prst="rect">
          <a:avLst/>
        </a:prstGeom>
        <a:solidFill>
          <a:srgbClr val="FBE4D4"/>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L</a:t>
          </a:r>
          <a:r>
            <a:rPr lang="en-US" sz="1100">
              <a:solidFill>
                <a:schemeClr val="dk1"/>
              </a:solidFill>
              <a:latin typeface="Calibri"/>
              <a:ea typeface="Calibri"/>
              <a:cs typeface="Calibri"/>
              <a:sym typeface="Calibri"/>
            </a:rPr>
            <a:t> = Lecture</a:t>
          </a:r>
          <a:endParaRPr sz="1400"/>
        </a:p>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T</a:t>
          </a:r>
          <a:r>
            <a:rPr lang="en-US" sz="1100">
              <a:solidFill>
                <a:schemeClr val="dk1"/>
              </a:solidFill>
              <a:latin typeface="Calibri"/>
              <a:ea typeface="Calibri"/>
              <a:cs typeface="Calibri"/>
              <a:sym typeface="Calibri"/>
            </a:rPr>
            <a:t>= Tutorial</a:t>
          </a:r>
          <a:endParaRPr sz="1400"/>
        </a:p>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P</a:t>
          </a:r>
          <a:r>
            <a:rPr lang="en-US" sz="1100">
              <a:solidFill>
                <a:schemeClr val="dk1"/>
              </a:solidFill>
              <a:latin typeface="Calibri"/>
              <a:ea typeface="Calibri"/>
              <a:cs typeface="Calibri"/>
              <a:sym typeface="Calibri"/>
            </a:rPr>
            <a:t>= Practical</a:t>
          </a:r>
          <a:endParaRPr sz="1400"/>
        </a:p>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O</a:t>
          </a:r>
          <a:r>
            <a:rPr lang="en-US" sz="1100">
              <a:solidFill>
                <a:schemeClr val="dk1"/>
              </a:solidFill>
              <a:latin typeface="Calibri"/>
              <a:ea typeface="Calibri"/>
              <a:cs typeface="Calibri"/>
              <a:sym typeface="Calibri"/>
            </a:rPr>
            <a:t>= Others</a:t>
          </a:r>
          <a:endParaRPr sz="1400"/>
        </a:p>
      </xdr:txBody>
    </xdr:sp>
    <xdr:clientData fLocksWithSheet="0"/>
  </xdr:oneCellAnchor>
  <xdr:oneCellAnchor>
    <xdr:from>
      <xdr:col>20</xdr:col>
      <xdr:colOff>0</xdr:colOff>
      <xdr:row>60</xdr:row>
      <xdr:rowOff>114300</xdr:rowOff>
    </xdr:from>
    <xdr:ext cx="2143125" cy="876300"/>
    <xdr:sp macro="" textlink="">
      <xdr:nvSpPr>
        <xdr:cNvPr id="48" name="Shape 44">
          <a:extLst>
            <a:ext uri="{FF2B5EF4-FFF2-40B4-BE49-F238E27FC236}">
              <a16:creationId xmlns:a16="http://schemas.microsoft.com/office/drawing/2014/main" id="{00000000-0008-0000-0200-000030000000}"/>
            </a:ext>
          </a:extLst>
        </xdr:cNvPr>
        <xdr:cNvSpPr txBox="1"/>
      </xdr:nvSpPr>
      <xdr:spPr>
        <a:xfrm>
          <a:off x="4279200" y="3346613"/>
          <a:ext cx="2133600" cy="866775"/>
        </a:xfrm>
        <a:prstGeom prst="rect">
          <a:avLst/>
        </a:prstGeom>
        <a:solidFill>
          <a:srgbClr val="DDEAF6"/>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Time taken for students to complete the online assessment.  Online assessment counted as part of the carrymark for the overall assessment</a:t>
          </a:r>
          <a:endParaRPr sz="1100" b="1"/>
        </a:p>
      </xdr:txBody>
    </xdr:sp>
    <xdr:clientData fLocksWithSheet="0"/>
  </xdr:oneCellAnchor>
  <xdr:oneCellAnchor>
    <xdr:from>
      <xdr:col>14</xdr:col>
      <xdr:colOff>142875</xdr:colOff>
      <xdr:row>60</xdr:row>
      <xdr:rowOff>171450</xdr:rowOff>
    </xdr:from>
    <xdr:ext cx="2743200" cy="304800"/>
    <xdr:grpSp>
      <xdr:nvGrpSpPr>
        <xdr:cNvPr id="49" name="Shape 2">
          <a:extLst>
            <a:ext uri="{FF2B5EF4-FFF2-40B4-BE49-F238E27FC236}">
              <a16:creationId xmlns:a16="http://schemas.microsoft.com/office/drawing/2014/main" id="{00000000-0008-0000-0200-000031000000}"/>
            </a:ext>
          </a:extLst>
        </xdr:cNvPr>
        <xdr:cNvGrpSpPr/>
      </xdr:nvGrpSpPr>
      <xdr:grpSpPr>
        <a:xfrm>
          <a:off x="3228975" y="20128230"/>
          <a:ext cx="2743200" cy="304800"/>
          <a:chOff x="3974400" y="3627600"/>
          <a:chExt cx="2743200" cy="304800"/>
        </a:xfrm>
      </xdr:grpSpPr>
      <xdr:grpSp>
        <xdr:nvGrpSpPr>
          <xdr:cNvPr id="50" name="Shape 45">
            <a:extLst>
              <a:ext uri="{FF2B5EF4-FFF2-40B4-BE49-F238E27FC236}">
                <a16:creationId xmlns:a16="http://schemas.microsoft.com/office/drawing/2014/main" id="{00000000-0008-0000-0200-000032000000}"/>
              </a:ext>
            </a:extLst>
          </xdr:cNvPr>
          <xdr:cNvGrpSpPr/>
        </xdr:nvGrpSpPr>
        <xdr:grpSpPr>
          <a:xfrm>
            <a:off x="3974400" y="3627600"/>
            <a:ext cx="2743200" cy="304800"/>
            <a:chOff x="3974400" y="3627600"/>
            <a:chExt cx="2743200" cy="304800"/>
          </a:xfrm>
        </xdr:grpSpPr>
        <xdr:sp macro="" textlink="">
          <xdr:nvSpPr>
            <xdr:cNvPr id="51" name="Shape 7">
              <a:extLst>
                <a:ext uri="{FF2B5EF4-FFF2-40B4-BE49-F238E27FC236}">
                  <a16:creationId xmlns:a16="http://schemas.microsoft.com/office/drawing/2014/main" id="{00000000-0008-0000-0200-000033000000}"/>
                </a:ext>
              </a:extLst>
            </xdr:cNvPr>
            <xdr:cNvSpPr/>
          </xdr:nvSpPr>
          <xdr:spPr>
            <a:xfrm>
              <a:off x="3974400" y="3627600"/>
              <a:ext cx="2743200" cy="304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2" name="Shape 46">
              <a:extLst>
                <a:ext uri="{FF2B5EF4-FFF2-40B4-BE49-F238E27FC236}">
                  <a16:creationId xmlns:a16="http://schemas.microsoft.com/office/drawing/2014/main" id="{00000000-0008-0000-0200-000034000000}"/>
                </a:ext>
              </a:extLst>
            </xdr:cNvPr>
            <xdr:cNvGrpSpPr/>
          </xdr:nvGrpSpPr>
          <xdr:grpSpPr>
            <a:xfrm>
              <a:off x="3974400" y="3627600"/>
              <a:ext cx="2743200" cy="304800"/>
              <a:chOff x="3974400" y="3627600"/>
              <a:chExt cx="2743200" cy="304800"/>
            </a:xfrm>
          </xdr:grpSpPr>
          <xdr:sp macro="" textlink="">
            <xdr:nvSpPr>
              <xdr:cNvPr id="53" name="Shape 47">
                <a:extLst>
                  <a:ext uri="{FF2B5EF4-FFF2-40B4-BE49-F238E27FC236}">
                    <a16:creationId xmlns:a16="http://schemas.microsoft.com/office/drawing/2014/main" id="{00000000-0008-0000-0200-000035000000}"/>
                  </a:ext>
                </a:extLst>
              </xdr:cNvPr>
              <xdr:cNvSpPr/>
            </xdr:nvSpPr>
            <xdr:spPr>
              <a:xfrm>
                <a:off x="3974400" y="3627600"/>
                <a:ext cx="2743200" cy="304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54" name="Shape 48">
                <a:extLst>
                  <a:ext uri="{FF2B5EF4-FFF2-40B4-BE49-F238E27FC236}">
                    <a16:creationId xmlns:a16="http://schemas.microsoft.com/office/drawing/2014/main" id="{00000000-0008-0000-0200-000036000000}"/>
                  </a:ext>
                </a:extLst>
              </xdr:cNvPr>
              <xdr:cNvGrpSpPr/>
            </xdr:nvGrpSpPr>
            <xdr:grpSpPr>
              <a:xfrm>
                <a:off x="3974400" y="3627600"/>
                <a:ext cx="2743200" cy="304800"/>
                <a:chOff x="3974400" y="3627600"/>
                <a:chExt cx="2743200" cy="304800"/>
              </a:xfrm>
            </xdr:grpSpPr>
            <xdr:sp macro="" textlink="">
              <xdr:nvSpPr>
                <xdr:cNvPr id="55" name="Shape 49">
                  <a:extLst>
                    <a:ext uri="{FF2B5EF4-FFF2-40B4-BE49-F238E27FC236}">
                      <a16:creationId xmlns:a16="http://schemas.microsoft.com/office/drawing/2014/main" id="{00000000-0008-0000-0200-000037000000}"/>
                    </a:ext>
                  </a:extLst>
                </xdr:cNvPr>
                <xdr:cNvSpPr/>
              </xdr:nvSpPr>
              <xdr:spPr>
                <a:xfrm>
                  <a:off x="3974400" y="3627600"/>
                  <a:ext cx="2743200" cy="304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56" name="Shape 50">
                  <a:extLst>
                    <a:ext uri="{FF2B5EF4-FFF2-40B4-BE49-F238E27FC236}">
                      <a16:creationId xmlns:a16="http://schemas.microsoft.com/office/drawing/2014/main" id="{00000000-0008-0000-0200-000038000000}"/>
                    </a:ext>
                  </a:extLst>
                </xdr:cNvPr>
                <xdr:cNvGrpSpPr/>
              </xdr:nvGrpSpPr>
              <xdr:grpSpPr>
                <a:xfrm>
                  <a:off x="3974400" y="3627600"/>
                  <a:ext cx="2743200" cy="304800"/>
                  <a:chOff x="3979163" y="3632363"/>
                  <a:chExt cx="2733675" cy="295275"/>
                </a:xfrm>
              </xdr:grpSpPr>
              <xdr:sp macro="" textlink="">
                <xdr:nvSpPr>
                  <xdr:cNvPr id="57" name="Shape 51">
                    <a:extLst>
                      <a:ext uri="{FF2B5EF4-FFF2-40B4-BE49-F238E27FC236}">
                        <a16:creationId xmlns:a16="http://schemas.microsoft.com/office/drawing/2014/main" id="{00000000-0008-0000-0200-000039000000}"/>
                      </a:ext>
                    </a:extLst>
                  </xdr:cNvPr>
                  <xdr:cNvSpPr/>
                </xdr:nvSpPr>
                <xdr:spPr>
                  <a:xfrm>
                    <a:off x="3979163" y="3632363"/>
                    <a:ext cx="2733675" cy="2952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58" name="Shape 52">
                    <a:extLst>
                      <a:ext uri="{FF2B5EF4-FFF2-40B4-BE49-F238E27FC236}">
                        <a16:creationId xmlns:a16="http://schemas.microsoft.com/office/drawing/2014/main" id="{00000000-0008-0000-0200-00003A000000}"/>
                      </a:ext>
                    </a:extLst>
                  </xdr:cNvPr>
                  <xdr:cNvCxnSpPr/>
                </xdr:nvCxnSpPr>
                <xdr:spPr>
                  <a:xfrm>
                    <a:off x="3979163" y="3632363"/>
                    <a:ext cx="2733675" cy="295275"/>
                  </a:xfrm>
                  <a:prstGeom prst="bentConnector3">
                    <a:avLst>
                      <a:gd name="adj1" fmla="val 76342"/>
                    </a:avLst>
                  </a:prstGeom>
                  <a:noFill/>
                  <a:ln w="9525" cap="flat" cmpd="sng">
                    <a:solidFill>
                      <a:schemeClr val="accent1"/>
                    </a:solidFill>
                    <a:prstDash val="solid"/>
                    <a:miter lim="800000"/>
                    <a:headEnd type="none" w="sm" len="sm"/>
                    <a:tailEnd type="triangle" w="med" len="med"/>
                  </a:ln>
                </xdr:spPr>
              </xdr:cxnSp>
            </xdr:grpSp>
          </xdr:grpSp>
        </xdr:grpSp>
      </xdr:grpSp>
    </xdr:grpSp>
    <xdr:clientData fLocksWithSheet="0"/>
  </xdr:oneCellAnchor>
  <xdr:oneCellAnchor>
    <xdr:from>
      <xdr:col>20</xdr:col>
      <xdr:colOff>0</xdr:colOff>
      <xdr:row>62</xdr:row>
      <xdr:rowOff>76200</xdr:rowOff>
    </xdr:from>
    <xdr:ext cx="2114550" cy="704850"/>
    <xdr:sp macro="" textlink="">
      <xdr:nvSpPr>
        <xdr:cNvPr id="59" name="Shape 53">
          <a:extLst>
            <a:ext uri="{FF2B5EF4-FFF2-40B4-BE49-F238E27FC236}">
              <a16:creationId xmlns:a16="http://schemas.microsoft.com/office/drawing/2014/main" id="{00000000-0008-0000-0200-00003B000000}"/>
            </a:ext>
          </a:extLst>
        </xdr:cNvPr>
        <xdr:cNvSpPr txBox="1"/>
      </xdr:nvSpPr>
      <xdr:spPr>
        <a:xfrm>
          <a:off x="4293488" y="3432338"/>
          <a:ext cx="2105025" cy="695325"/>
        </a:xfrm>
        <a:prstGeom prst="rect">
          <a:avLst/>
        </a:prstGeom>
        <a:solidFill>
          <a:srgbClr val="DDEAF6"/>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Time taken for students to prepare for the online assessment independently.  </a:t>
          </a:r>
          <a:endParaRPr sz="1400"/>
        </a:p>
        <a:p>
          <a:pPr marL="0" lvl="0" indent="0" algn="l" rtl="0">
            <a:spcBef>
              <a:spcPts val="0"/>
            </a:spcBef>
            <a:spcAft>
              <a:spcPts val="0"/>
            </a:spcAft>
            <a:buSzPts val="1100"/>
            <a:buFont typeface="Arial"/>
            <a:buNone/>
          </a:pPr>
          <a:endParaRPr sz="1100"/>
        </a:p>
      </xdr:txBody>
    </xdr:sp>
    <xdr:clientData fLocksWithSheet="0"/>
  </xdr:oneCellAnchor>
  <xdr:oneCellAnchor>
    <xdr:from>
      <xdr:col>16</xdr:col>
      <xdr:colOff>771525</xdr:colOff>
      <xdr:row>61</xdr:row>
      <xdr:rowOff>200025</xdr:rowOff>
    </xdr:from>
    <xdr:ext cx="1476375" cy="742950"/>
    <xdr:grpSp>
      <xdr:nvGrpSpPr>
        <xdr:cNvPr id="60" name="Shape 2">
          <a:extLst>
            <a:ext uri="{FF2B5EF4-FFF2-40B4-BE49-F238E27FC236}">
              <a16:creationId xmlns:a16="http://schemas.microsoft.com/office/drawing/2014/main" id="{00000000-0008-0000-0200-00003C000000}"/>
            </a:ext>
          </a:extLst>
        </xdr:cNvPr>
        <xdr:cNvGrpSpPr/>
      </xdr:nvGrpSpPr>
      <xdr:grpSpPr>
        <a:xfrm>
          <a:off x="4528185" y="20614005"/>
          <a:ext cx="1476375" cy="742950"/>
          <a:chOff x="4607813" y="3408525"/>
          <a:chExt cx="1476375" cy="742950"/>
        </a:xfrm>
      </xdr:grpSpPr>
      <xdr:grpSp>
        <xdr:nvGrpSpPr>
          <xdr:cNvPr id="61" name="Shape 54">
            <a:extLst>
              <a:ext uri="{FF2B5EF4-FFF2-40B4-BE49-F238E27FC236}">
                <a16:creationId xmlns:a16="http://schemas.microsoft.com/office/drawing/2014/main" id="{00000000-0008-0000-0200-00003D000000}"/>
              </a:ext>
            </a:extLst>
          </xdr:cNvPr>
          <xdr:cNvGrpSpPr/>
        </xdr:nvGrpSpPr>
        <xdr:grpSpPr>
          <a:xfrm>
            <a:off x="4607813" y="3408525"/>
            <a:ext cx="1476375" cy="742950"/>
            <a:chOff x="4607813" y="3408525"/>
            <a:chExt cx="1476375" cy="742950"/>
          </a:xfrm>
        </xdr:grpSpPr>
        <xdr:sp macro="" textlink="">
          <xdr:nvSpPr>
            <xdr:cNvPr id="62" name="Shape 7">
              <a:extLst>
                <a:ext uri="{FF2B5EF4-FFF2-40B4-BE49-F238E27FC236}">
                  <a16:creationId xmlns:a16="http://schemas.microsoft.com/office/drawing/2014/main" id="{00000000-0008-0000-0200-00003E000000}"/>
                </a:ext>
              </a:extLst>
            </xdr:cNvPr>
            <xdr:cNvSpPr/>
          </xdr:nvSpPr>
          <xdr:spPr>
            <a:xfrm>
              <a:off x="4607813" y="3408525"/>
              <a:ext cx="1476375" cy="7429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63" name="Shape 55">
              <a:extLst>
                <a:ext uri="{FF2B5EF4-FFF2-40B4-BE49-F238E27FC236}">
                  <a16:creationId xmlns:a16="http://schemas.microsoft.com/office/drawing/2014/main" id="{00000000-0008-0000-0200-00003F000000}"/>
                </a:ext>
              </a:extLst>
            </xdr:cNvPr>
            <xdr:cNvGrpSpPr/>
          </xdr:nvGrpSpPr>
          <xdr:grpSpPr>
            <a:xfrm>
              <a:off x="4607813" y="3408525"/>
              <a:ext cx="1476375" cy="742950"/>
              <a:chOff x="4607813" y="3408525"/>
              <a:chExt cx="1476375" cy="742950"/>
            </a:xfrm>
          </xdr:grpSpPr>
          <xdr:sp macro="" textlink="">
            <xdr:nvSpPr>
              <xdr:cNvPr id="64" name="Shape 56">
                <a:extLst>
                  <a:ext uri="{FF2B5EF4-FFF2-40B4-BE49-F238E27FC236}">
                    <a16:creationId xmlns:a16="http://schemas.microsoft.com/office/drawing/2014/main" id="{00000000-0008-0000-0200-000040000000}"/>
                  </a:ext>
                </a:extLst>
              </xdr:cNvPr>
              <xdr:cNvSpPr/>
            </xdr:nvSpPr>
            <xdr:spPr>
              <a:xfrm>
                <a:off x="4607813" y="3408525"/>
                <a:ext cx="1476375" cy="7429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65" name="Shape 57">
                <a:extLst>
                  <a:ext uri="{FF2B5EF4-FFF2-40B4-BE49-F238E27FC236}">
                    <a16:creationId xmlns:a16="http://schemas.microsoft.com/office/drawing/2014/main" id="{00000000-0008-0000-0200-000041000000}"/>
                  </a:ext>
                </a:extLst>
              </xdr:cNvPr>
              <xdr:cNvGrpSpPr/>
            </xdr:nvGrpSpPr>
            <xdr:grpSpPr>
              <a:xfrm>
                <a:off x="4607813" y="3408525"/>
                <a:ext cx="1476375" cy="742950"/>
                <a:chOff x="4607813" y="3408525"/>
                <a:chExt cx="1476375" cy="742950"/>
              </a:xfrm>
            </xdr:grpSpPr>
            <xdr:sp macro="" textlink="">
              <xdr:nvSpPr>
                <xdr:cNvPr id="66" name="Shape 58">
                  <a:extLst>
                    <a:ext uri="{FF2B5EF4-FFF2-40B4-BE49-F238E27FC236}">
                      <a16:creationId xmlns:a16="http://schemas.microsoft.com/office/drawing/2014/main" id="{00000000-0008-0000-0200-000042000000}"/>
                    </a:ext>
                  </a:extLst>
                </xdr:cNvPr>
                <xdr:cNvSpPr/>
              </xdr:nvSpPr>
              <xdr:spPr>
                <a:xfrm>
                  <a:off x="4607813" y="3408525"/>
                  <a:ext cx="1476375" cy="7429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67" name="Shape 59">
                  <a:extLst>
                    <a:ext uri="{FF2B5EF4-FFF2-40B4-BE49-F238E27FC236}">
                      <a16:creationId xmlns:a16="http://schemas.microsoft.com/office/drawing/2014/main" id="{00000000-0008-0000-0200-000043000000}"/>
                    </a:ext>
                  </a:extLst>
                </xdr:cNvPr>
                <xdr:cNvGrpSpPr/>
              </xdr:nvGrpSpPr>
              <xdr:grpSpPr>
                <a:xfrm>
                  <a:off x="4607813" y="3408525"/>
                  <a:ext cx="1476375" cy="742950"/>
                  <a:chOff x="4612575" y="3413288"/>
                  <a:chExt cx="1466850" cy="733425"/>
                </a:xfrm>
              </xdr:grpSpPr>
              <xdr:sp macro="" textlink="">
                <xdr:nvSpPr>
                  <xdr:cNvPr id="68" name="Shape 60">
                    <a:extLst>
                      <a:ext uri="{FF2B5EF4-FFF2-40B4-BE49-F238E27FC236}">
                        <a16:creationId xmlns:a16="http://schemas.microsoft.com/office/drawing/2014/main" id="{00000000-0008-0000-0200-000044000000}"/>
                      </a:ext>
                    </a:extLst>
                  </xdr:cNvPr>
                  <xdr:cNvSpPr/>
                </xdr:nvSpPr>
                <xdr:spPr>
                  <a:xfrm>
                    <a:off x="4612575" y="3413288"/>
                    <a:ext cx="1466850" cy="7334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69" name="Shape 61">
                    <a:extLst>
                      <a:ext uri="{FF2B5EF4-FFF2-40B4-BE49-F238E27FC236}">
                        <a16:creationId xmlns:a16="http://schemas.microsoft.com/office/drawing/2014/main" id="{00000000-0008-0000-0200-000045000000}"/>
                      </a:ext>
                    </a:extLst>
                  </xdr:cNvPr>
                  <xdr:cNvCxnSpPr/>
                </xdr:nvCxnSpPr>
                <xdr:spPr>
                  <a:xfrm>
                    <a:off x="4612575" y="3413288"/>
                    <a:ext cx="1466850" cy="733425"/>
                  </a:xfrm>
                  <a:prstGeom prst="bentConnector3">
                    <a:avLst>
                      <a:gd name="adj1" fmla="val 54277"/>
                    </a:avLst>
                  </a:prstGeom>
                  <a:noFill/>
                  <a:ln w="9525" cap="flat" cmpd="sng">
                    <a:solidFill>
                      <a:schemeClr val="accent1"/>
                    </a:solidFill>
                    <a:prstDash val="solid"/>
                    <a:miter lim="800000"/>
                    <a:headEnd type="none" w="sm" len="sm"/>
                    <a:tailEnd type="triangle" w="med" len="med"/>
                  </a:ln>
                </xdr:spPr>
              </xdr:cxnSp>
            </xdr:grpSp>
          </xdr:grpSp>
        </xdr:grpSp>
      </xdr:grpSp>
    </xdr:grpSp>
    <xdr:clientData fLocksWithSheet="0"/>
  </xdr:oneCellAnchor>
  <xdr:oneCellAnchor>
    <xdr:from>
      <xdr:col>1</xdr:col>
      <xdr:colOff>123825</xdr:colOff>
      <xdr:row>62</xdr:row>
      <xdr:rowOff>0</xdr:rowOff>
    </xdr:from>
    <xdr:ext cx="4162425" cy="276225"/>
    <xdr:sp macro="" textlink="">
      <xdr:nvSpPr>
        <xdr:cNvPr id="70" name="Shape 62">
          <a:extLst>
            <a:ext uri="{FF2B5EF4-FFF2-40B4-BE49-F238E27FC236}">
              <a16:creationId xmlns:a16="http://schemas.microsoft.com/office/drawing/2014/main" id="{00000000-0008-0000-0200-000046000000}"/>
            </a:ext>
          </a:extLst>
        </xdr:cNvPr>
        <xdr:cNvSpPr/>
      </xdr:nvSpPr>
      <xdr:spPr>
        <a:xfrm>
          <a:off x="3269550" y="3646650"/>
          <a:ext cx="4152900" cy="266700"/>
        </a:xfrm>
        <a:prstGeom prst="rect">
          <a:avLst/>
        </a:prstGeom>
        <a:noFill/>
        <a:ln w="12700" cap="flat" cmpd="sng">
          <a:solidFill>
            <a:srgbClr val="2F5496"/>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10</xdr:col>
      <xdr:colOff>123825</xdr:colOff>
      <xdr:row>63</xdr:row>
      <xdr:rowOff>47625</xdr:rowOff>
    </xdr:from>
    <xdr:ext cx="3543300" cy="1038225"/>
    <xdr:grpSp>
      <xdr:nvGrpSpPr>
        <xdr:cNvPr id="71" name="Shape 2">
          <a:extLst>
            <a:ext uri="{FF2B5EF4-FFF2-40B4-BE49-F238E27FC236}">
              <a16:creationId xmlns:a16="http://schemas.microsoft.com/office/drawing/2014/main" id="{00000000-0008-0000-0200-000047000000}"/>
            </a:ext>
          </a:extLst>
        </xdr:cNvPr>
        <xdr:cNvGrpSpPr/>
      </xdr:nvGrpSpPr>
      <xdr:grpSpPr>
        <a:xfrm>
          <a:off x="2417445" y="21139785"/>
          <a:ext cx="3543300" cy="1038225"/>
          <a:chOff x="3574350" y="3260888"/>
          <a:chExt cx="3543300" cy="1038225"/>
        </a:xfrm>
      </xdr:grpSpPr>
      <xdr:grpSp>
        <xdr:nvGrpSpPr>
          <xdr:cNvPr id="72" name="Shape 63">
            <a:extLst>
              <a:ext uri="{FF2B5EF4-FFF2-40B4-BE49-F238E27FC236}">
                <a16:creationId xmlns:a16="http://schemas.microsoft.com/office/drawing/2014/main" id="{00000000-0008-0000-0200-000048000000}"/>
              </a:ext>
            </a:extLst>
          </xdr:cNvPr>
          <xdr:cNvGrpSpPr/>
        </xdr:nvGrpSpPr>
        <xdr:grpSpPr>
          <a:xfrm>
            <a:off x="3574350" y="3260888"/>
            <a:ext cx="3543300" cy="1038225"/>
            <a:chOff x="3574350" y="3260888"/>
            <a:chExt cx="3543300" cy="1038225"/>
          </a:xfrm>
        </xdr:grpSpPr>
        <xdr:sp macro="" textlink="">
          <xdr:nvSpPr>
            <xdr:cNvPr id="73" name="Shape 7">
              <a:extLst>
                <a:ext uri="{FF2B5EF4-FFF2-40B4-BE49-F238E27FC236}">
                  <a16:creationId xmlns:a16="http://schemas.microsoft.com/office/drawing/2014/main" id="{00000000-0008-0000-0200-000049000000}"/>
                </a:ext>
              </a:extLst>
            </xdr:cNvPr>
            <xdr:cNvSpPr/>
          </xdr:nvSpPr>
          <xdr:spPr>
            <a:xfrm>
              <a:off x="3574350" y="3260888"/>
              <a:ext cx="3543300" cy="10382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74" name="Shape 64">
              <a:extLst>
                <a:ext uri="{FF2B5EF4-FFF2-40B4-BE49-F238E27FC236}">
                  <a16:creationId xmlns:a16="http://schemas.microsoft.com/office/drawing/2014/main" id="{00000000-0008-0000-0200-00004A000000}"/>
                </a:ext>
              </a:extLst>
            </xdr:cNvPr>
            <xdr:cNvGrpSpPr/>
          </xdr:nvGrpSpPr>
          <xdr:grpSpPr>
            <a:xfrm>
              <a:off x="3574350" y="3260888"/>
              <a:ext cx="3543300" cy="1038225"/>
              <a:chOff x="3574350" y="3260888"/>
              <a:chExt cx="3543300" cy="1038225"/>
            </a:xfrm>
          </xdr:grpSpPr>
          <xdr:sp macro="" textlink="">
            <xdr:nvSpPr>
              <xdr:cNvPr id="75" name="Shape 65">
                <a:extLst>
                  <a:ext uri="{FF2B5EF4-FFF2-40B4-BE49-F238E27FC236}">
                    <a16:creationId xmlns:a16="http://schemas.microsoft.com/office/drawing/2014/main" id="{00000000-0008-0000-0200-00004B000000}"/>
                  </a:ext>
                </a:extLst>
              </xdr:cNvPr>
              <xdr:cNvSpPr/>
            </xdr:nvSpPr>
            <xdr:spPr>
              <a:xfrm>
                <a:off x="3574350" y="3260888"/>
                <a:ext cx="3543300" cy="10382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76" name="Shape 66">
                <a:extLst>
                  <a:ext uri="{FF2B5EF4-FFF2-40B4-BE49-F238E27FC236}">
                    <a16:creationId xmlns:a16="http://schemas.microsoft.com/office/drawing/2014/main" id="{00000000-0008-0000-0200-00004C000000}"/>
                  </a:ext>
                </a:extLst>
              </xdr:cNvPr>
              <xdr:cNvGrpSpPr/>
            </xdr:nvGrpSpPr>
            <xdr:grpSpPr>
              <a:xfrm>
                <a:off x="3574350" y="3260888"/>
                <a:ext cx="3543300" cy="1038225"/>
                <a:chOff x="3574350" y="3260888"/>
                <a:chExt cx="3543300" cy="1038225"/>
              </a:xfrm>
            </xdr:grpSpPr>
            <xdr:sp macro="" textlink="">
              <xdr:nvSpPr>
                <xdr:cNvPr id="77" name="Shape 67">
                  <a:extLst>
                    <a:ext uri="{FF2B5EF4-FFF2-40B4-BE49-F238E27FC236}">
                      <a16:creationId xmlns:a16="http://schemas.microsoft.com/office/drawing/2014/main" id="{00000000-0008-0000-0200-00004D000000}"/>
                    </a:ext>
                  </a:extLst>
                </xdr:cNvPr>
                <xdr:cNvSpPr/>
              </xdr:nvSpPr>
              <xdr:spPr>
                <a:xfrm>
                  <a:off x="3574350" y="3260888"/>
                  <a:ext cx="3543300" cy="10382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78" name="Shape 68">
                  <a:extLst>
                    <a:ext uri="{FF2B5EF4-FFF2-40B4-BE49-F238E27FC236}">
                      <a16:creationId xmlns:a16="http://schemas.microsoft.com/office/drawing/2014/main" id="{00000000-0008-0000-0200-00004E000000}"/>
                    </a:ext>
                  </a:extLst>
                </xdr:cNvPr>
                <xdr:cNvGrpSpPr/>
              </xdr:nvGrpSpPr>
              <xdr:grpSpPr>
                <a:xfrm>
                  <a:off x="3574350" y="3260888"/>
                  <a:ext cx="3543300" cy="1038225"/>
                  <a:chOff x="3579113" y="3265650"/>
                  <a:chExt cx="3533775" cy="1028700"/>
                </a:xfrm>
              </xdr:grpSpPr>
              <xdr:sp macro="" textlink="">
                <xdr:nvSpPr>
                  <xdr:cNvPr id="79" name="Shape 69">
                    <a:extLst>
                      <a:ext uri="{FF2B5EF4-FFF2-40B4-BE49-F238E27FC236}">
                        <a16:creationId xmlns:a16="http://schemas.microsoft.com/office/drawing/2014/main" id="{00000000-0008-0000-0200-00004F000000}"/>
                      </a:ext>
                    </a:extLst>
                  </xdr:cNvPr>
                  <xdr:cNvSpPr/>
                </xdr:nvSpPr>
                <xdr:spPr>
                  <a:xfrm>
                    <a:off x="3579113" y="3265650"/>
                    <a:ext cx="3533775" cy="10287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80" name="Shape 70">
                    <a:extLst>
                      <a:ext uri="{FF2B5EF4-FFF2-40B4-BE49-F238E27FC236}">
                        <a16:creationId xmlns:a16="http://schemas.microsoft.com/office/drawing/2014/main" id="{00000000-0008-0000-0200-000050000000}"/>
                      </a:ext>
                    </a:extLst>
                  </xdr:cNvPr>
                  <xdr:cNvCxnSpPr/>
                </xdr:nvCxnSpPr>
                <xdr:spPr>
                  <a:xfrm>
                    <a:off x="3579113" y="3265650"/>
                    <a:ext cx="3533775" cy="1028700"/>
                  </a:xfrm>
                  <a:prstGeom prst="bentConnector3">
                    <a:avLst>
                      <a:gd name="adj1" fmla="val 32801"/>
                    </a:avLst>
                  </a:prstGeom>
                  <a:noFill/>
                  <a:ln w="9525" cap="flat" cmpd="sng">
                    <a:solidFill>
                      <a:schemeClr val="accent1"/>
                    </a:solidFill>
                    <a:prstDash val="solid"/>
                    <a:miter lim="800000"/>
                    <a:headEnd type="none" w="sm" len="sm"/>
                    <a:tailEnd type="triangle" w="med" len="med"/>
                  </a:ln>
                </xdr:spPr>
              </xdr:cxnSp>
            </xdr:grpSp>
          </xdr:grpSp>
        </xdr:grpSp>
      </xdr:grpSp>
    </xdr:grpSp>
    <xdr:clientData fLocksWithSheet="0"/>
  </xdr:oneCellAnchor>
  <xdr:oneCellAnchor>
    <xdr:from>
      <xdr:col>20</xdr:col>
      <xdr:colOff>0</xdr:colOff>
      <xdr:row>67</xdr:row>
      <xdr:rowOff>0</xdr:rowOff>
    </xdr:from>
    <xdr:ext cx="2114550" cy="1009650"/>
    <xdr:sp macro="" textlink="">
      <xdr:nvSpPr>
        <xdr:cNvPr id="81" name="Shape 71">
          <a:extLst>
            <a:ext uri="{FF2B5EF4-FFF2-40B4-BE49-F238E27FC236}">
              <a16:creationId xmlns:a16="http://schemas.microsoft.com/office/drawing/2014/main" id="{00000000-0008-0000-0200-000051000000}"/>
            </a:ext>
          </a:extLst>
        </xdr:cNvPr>
        <xdr:cNvSpPr txBox="1"/>
      </xdr:nvSpPr>
      <xdr:spPr>
        <a:xfrm>
          <a:off x="4293488" y="3279938"/>
          <a:ext cx="2105025" cy="1000125"/>
        </a:xfrm>
        <a:prstGeom prst="rect">
          <a:avLst/>
        </a:prstGeom>
        <a:solidFill>
          <a:srgbClr val="C4E0B2"/>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Example:</a:t>
          </a:r>
          <a:endParaRPr sz="1400"/>
        </a:p>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Student has to take Online Quiz 1,  with the weightage of 10%. Estimated time for students to prepare for Quiz 1 is 3 hours</a:t>
          </a:r>
          <a:endParaRPr sz="1400"/>
        </a:p>
        <a:p>
          <a:pPr marL="0" lvl="0" indent="0" algn="l" rtl="0">
            <a:spcBef>
              <a:spcPts val="0"/>
            </a:spcBef>
            <a:spcAft>
              <a:spcPts val="0"/>
            </a:spcAft>
            <a:buSzPts val="1100"/>
            <a:buFont typeface="Arial"/>
            <a:buNone/>
          </a:pPr>
          <a:endParaRPr sz="1100"/>
        </a:p>
      </xdr:txBody>
    </xdr:sp>
    <xdr:clientData fLocksWithSheet="0"/>
  </xdr:oneCellAnchor>
  <xdr:oneCellAnchor>
    <xdr:from>
      <xdr:col>7</xdr:col>
      <xdr:colOff>180975</xdr:colOff>
      <xdr:row>42</xdr:row>
      <xdr:rowOff>0</xdr:rowOff>
    </xdr:from>
    <xdr:ext cx="1914525" cy="3752850"/>
    <xdr:sp macro="" textlink="">
      <xdr:nvSpPr>
        <xdr:cNvPr id="82" name="Shape 72">
          <a:extLst>
            <a:ext uri="{FF2B5EF4-FFF2-40B4-BE49-F238E27FC236}">
              <a16:creationId xmlns:a16="http://schemas.microsoft.com/office/drawing/2014/main" id="{00000000-0008-0000-0200-000052000000}"/>
            </a:ext>
          </a:extLst>
        </xdr:cNvPr>
        <xdr:cNvSpPr/>
      </xdr:nvSpPr>
      <xdr:spPr>
        <a:xfrm>
          <a:off x="4393500" y="1908338"/>
          <a:ext cx="1905000" cy="3743325"/>
        </a:xfrm>
        <a:prstGeom prst="rect">
          <a:avLst/>
        </a:prstGeom>
        <a:solidFill>
          <a:srgbClr val="FFF2CC">
            <a:alpha val="51372"/>
          </a:srgbClr>
        </a:solidFill>
        <a:ln>
          <a:noFill/>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12</xdr:col>
      <xdr:colOff>180975</xdr:colOff>
      <xdr:row>57</xdr:row>
      <xdr:rowOff>28575</xdr:rowOff>
    </xdr:from>
    <xdr:ext cx="3133725" cy="600075"/>
    <xdr:grpSp>
      <xdr:nvGrpSpPr>
        <xdr:cNvPr id="83" name="Shape 2">
          <a:extLst>
            <a:ext uri="{FF2B5EF4-FFF2-40B4-BE49-F238E27FC236}">
              <a16:creationId xmlns:a16="http://schemas.microsoft.com/office/drawing/2014/main" id="{00000000-0008-0000-0200-000053000000}"/>
            </a:ext>
          </a:extLst>
        </xdr:cNvPr>
        <xdr:cNvGrpSpPr/>
      </xdr:nvGrpSpPr>
      <xdr:grpSpPr>
        <a:xfrm>
          <a:off x="2825115" y="18773775"/>
          <a:ext cx="3133725" cy="600075"/>
          <a:chOff x="3779138" y="3479963"/>
          <a:chExt cx="3133725" cy="600075"/>
        </a:xfrm>
      </xdr:grpSpPr>
      <xdr:grpSp>
        <xdr:nvGrpSpPr>
          <xdr:cNvPr id="84" name="Shape 73">
            <a:extLst>
              <a:ext uri="{FF2B5EF4-FFF2-40B4-BE49-F238E27FC236}">
                <a16:creationId xmlns:a16="http://schemas.microsoft.com/office/drawing/2014/main" id="{00000000-0008-0000-0200-000054000000}"/>
              </a:ext>
            </a:extLst>
          </xdr:cNvPr>
          <xdr:cNvGrpSpPr/>
        </xdr:nvGrpSpPr>
        <xdr:grpSpPr>
          <a:xfrm>
            <a:off x="3779138" y="3479963"/>
            <a:ext cx="3133725" cy="600075"/>
            <a:chOff x="3779138" y="3479963"/>
            <a:chExt cx="3133725" cy="600075"/>
          </a:xfrm>
        </xdr:grpSpPr>
        <xdr:sp macro="" textlink="">
          <xdr:nvSpPr>
            <xdr:cNvPr id="85" name="Shape 7">
              <a:extLst>
                <a:ext uri="{FF2B5EF4-FFF2-40B4-BE49-F238E27FC236}">
                  <a16:creationId xmlns:a16="http://schemas.microsoft.com/office/drawing/2014/main" id="{00000000-0008-0000-0200-000055000000}"/>
                </a:ext>
              </a:extLst>
            </xdr:cNvPr>
            <xdr:cNvSpPr/>
          </xdr:nvSpPr>
          <xdr:spPr>
            <a:xfrm>
              <a:off x="3779138" y="3479963"/>
              <a:ext cx="3133725" cy="6000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86" name="Shape 74">
              <a:extLst>
                <a:ext uri="{FF2B5EF4-FFF2-40B4-BE49-F238E27FC236}">
                  <a16:creationId xmlns:a16="http://schemas.microsoft.com/office/drawing/2014/main" id="{00000000-0008-0000-0200-000056000000}"/>
                </a:ext>
              </a:extLst>
            </xdr:cNvPr>
            <xdr:cNvGrpSpPr/>
          </xdr:nvGrpSpPr>
          <xdr:grpSpPr>
            <a:xfrm>
              <a:off x="3779138" y="3479963"/>
              <a:ext cx="3133725" cy="600075"/>
              <a:chOff x="3779138" y="3479963"/>
              <a:chExt cx="3133725" cy="600075"/>
            </a:xfrm>
          </xdr:grpSpPr>
          <xdr:sp macro="" textlink="">
            <xdr:nvSpPr>
              <xdr:cNvPr id="87" name="Shape 75">
                <a:extLst>
                  <a:ext uri="{FF2B5EF4-FFF2-40B4-BE49-F238E27FC236}">
                    <a16:creationId xmlns:a16="http://schemas.microsoft.com/office/drawing/2014/main" id="{00000000-0008-0000-0200-000057000000}"/>
                  </a:ext>
                </a:extLst>
              </xdr:cNvPr>
              <xdr:cNvSpPr/>
            </xdr:nvSpPr>
            <xdr:spPr>
              <a:xfrm>
                <a:off x="3779138" y="3479963"/>
                <a:ext cx="3133725" cy="6000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88" name="Shape 76">
                <a:extLst>
                  <a:ext uri="{FF2B5EF4-FFF2-40B4-BE49-F238E27FC236}">
                    <a16:creationId xmlns:a16="http://schemas.microsoft.com/office/drawing/2014/main" id="{00000000-0008-0000-0200-000058000000}"/>
                  </a:ext>
                </a:extLst>
              </xdr:cNvPr>
              <xdr:cNvGrpSpPr/>
            </xdr:nvGrpSpPr>
            <xdr:grpSpPr>
              <a:xfrm>
                <a:off x="3779138" y="3479963"/>
                <a:ext cx="3133725" cy="600075"/>
                <a:chOff x="3779138" y="3479963"/>
                <a:chExt cx="3133725" cy="600075"/>
              </a:xfrm>
            </xdr:grpSpPr>
            <xdr:sp macro="" textlink="">
              <xdr:nvSpPr>
                <xdr:cNvPr id="89" name="Shape 77">
                  <a:extLst>
                    <a:ext uri="{FF2B5EF4-FFF2-40B4-BE49-F238E27FC236}">
                      <a16:creationId xmlns:a16="http://schemas.microsoft.com/office/drawing/2014/main" id="{00000000-0008-0000-0200-000059000000}"/>
                    </a:ext>
                  </a:extLst>
                </xdr:cNvPr>
                <xdr:cNvSpPr/>
              </xdr:nvSpPr>
              <xdr:spPr>
                <a:xfrm>
                  <a:off x="3779138" y="3479963"/>
                  <a:ext cx="3133725" cy="6000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90" name="Shape 78">
                  <a:extLst>
                    <a:ext uri="{FF2B5EF4-FFF2-40B4-BE49-F238E27FC236}">
                      <a16:creationId xmlns:a16="http://schemas.microsoft.com/office/drawing/2014/main" id="{00000000-0008-0000-0200-00005A000000}"/>
                    </a:ext>
                  </a:extLst>
                </xdr:cNvPr>
                <xdr:cNvGrpSpPr/>
              </xdr:nvGrpSpPr>
              <xdr:grpSpPr>
                <a:xfrm>
                  <a:off x="3779138" y="3479963"/>
                  <a:ext cx="3133725" cy="600075"/>
                  <a:chOff x="3783900" y="3484725"/>
                  <a:chExt cx="3124200" cy="590700"/>
                </a:xfrm>
              </xdr:grpSpPr>
              <xdr:sp macro="" textlink="">
                <xdr:nvSpPr>
                  <xdr:cNvPr id="91" name="Shape 79">
                    <a:extLst>
                      <a:ext uri="{FF2B5EF4-FFF2-40B4-BE49-F238E27FC236}">
                        <a16:creationId xmlns:a16="http://schemas.microsoft.com/office/drawing/2014/main" id="{00000000-0008-0000-0200-00005B000000}"/>
                      </a:ext>
                    </a:extLst>
                  </xdr:cNvPr>
                  <xdr:cNvSpPr/>
                </xdr:nvSpPr>
                <xdr:spPr>
                  <a:xfrm>
                    <a:off x="3783900" y="3484725"/>
                    <a:ext cx="3124200" cy="5907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92" name="Shape 80">
                    <a:extLst>
                      <a:ext uri="{FF2B5EF4-FFF2-40B4-BE49-F238E27FC236}">
                        <a16:creationId xmlns:a16="http://schemas.microsoft.com/office/drawing/2014/main" id="{00000000-0008-0000-0200-00005C000000}"/>
                      </a:ext>
                    </a:extLst>
                  </xdr:cNvPr>
                  <xdr:cNvCxnSpPr>
                    <a:stCxn id="47" idx="2"/>
                  </xdr:cNvCxnSpPr>
                </xdr:nvCxnSpPr>
                <xdr:spPr>
                  <a:xfrm>
                    <a:off x="3783900" y="3484725"/>
                    <a:ext cx="3124200" cy="590700"/>
                  </a:xfrm>
                  <a:prstGeom prst="bentConnector2">
                    <a:avLst/>
                  </a:prstGeom>
                  <a:noFill/>
                  <a:ln w="9525" cap="flat" cmpd="sng">
                    <a:solidFill>
                      <a:schemeClr val="accent1"/>
                    </a:solidFill>
                    <a:prstDash val="solid"/>
                    <a:miter lim="800000"/>
                    <a:headEnd type="none" w="sm" len="sm"/>
                    <a:tailEnd type="triangle" w="med" len="med"/>
                  </a:ln>
                </xdr:spPr>
              </xdr:cxnSp>
            </xdr:grpSp>
          </xdr:grpSp>
        </xdr:grpSp>
      </xdr:grpSp>
    </xdr:grpSp>
    <xdr:clientData fLocksWithSheet="0"/>
  </xdr:oneCellAnchor>
  <xdr:oneCellAnchor>
    <xdr:from>
      <xdr:col>20</xdr:col>
      <xdr:colOff>0</xdr:colOff>
      <xdr:row>59</xdr:row>
      <xdr:rowOff>95250</xdr:rowOff>
    </xdr:from>
    <xdr:ext cx="2447925" cy="847725"/>
    <xdr:sp macro="" textlink="">
      <xdr:nvSpPr>
        <xdr:cNvPr id="93" name="Shape 81">
          <a:extLst>
            <a:ext uri="{FF2B5EF4-FFF2-40B4-BE49-F238E27FC236}">
              <a16:creationId xmlns:a16="http://schemas.microsoft.com/office/drawing/2014/main" id="{00000000-0008-0000-0200-00005D000000}"/>
            </a:ext>
          </a:extLst>
        </xdr:cNvPr>
        <xdr:cNvSpPr txBox="1"/>
      </xdr:nvSpPr>
      <xdr:spPr>
        <a:xfrm>
          <a:off x="4126800" y="3360900"/>
          <a:ext cx="2438400" cy="838200"/>
        </a:xfrm>
        <a:prstGeom prst="rect">
          <a:avLst/>
        </a:prstGeom>
        <a:solidFill>
          <a:srgbClr val="FBE4D4"/>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b="0">
              <a:solidFill>
                <a:schemeClr val="dk1"/>
              </a:solidFill>
              <a:latin typeface="Calibri"/>
              <a:ea typeface="Calibri"/>
              <a:cs typeface="Calibri"/>
              <a:sym typeface="Calibri"/>
            </a:rPr>
            <a:t>For 3 credit hours: we meet students 3 hours per week. We have 14 weeks, so we meet them = 14 weeks x 3 hrs = 42 hrs the whole semester. This is the GUIDED SLT</a:t>
          </a:r>
          <a:endParaRPr sz="1100" b="1"/>
        </a:p>
      </xdr:txBody>
    </xdr:sp>
    <xdr:clientData fLocksWithSheet="0"/>
  </xdr:oneCellAnchor>
  <xdr:oneCellAnchor>
    <xdr:from>
      <xdr:col>19</xdr:col>
      <xdr:colOff>57150</xdr:colOff>
      <xdr:row>2</xdr:row>
      <xdr:rowOff>142875</xdr:rowOff>
    </xdr:from>
    <xdr:ext cx="1552575" cy="2133600"/>
    <xdr:sp macro="" textlink="">
      <xdr:nvSpPr>
        <xdr:cNvPr id="94" name="Shape 82">
          <a:extLst>
            <a:ext uri="{FF2B5EF4-FFF2-40B4-BE49-F238E27FC236}">
              <a16:creationId xmlns:a16="http://schemas.microsoft.com/office/drawing/2014/main" id="{00000000-0008-0000-0200-00005E000000}"/>
            </a:ext>
          </a:extLst>
        </xdr:cNvPr>
        <xdr:cNvSpPr txBox="1"/>
      </xdr:nvSpPr>
      <xdr:spPr>
        <a:xfrm>
          <a:off x="4574475" y="2717963"/>
          <a:ext cx="1543050" cy="2124075"/>
        </a:xfrm>
        <a:prstGeom prst="rect">
          <a:avLst/>
        </a:prstGeom>
        <a:solidFill>
          <a:srgbClr val="FFC000"/>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How to Use:</a:t>
          </a:r>
          <a:endParaRPr sz="1400"/>
        </a:p>
        <a:p>
          <a:pPr marL="0" lvl="0" indent="0" algn="l" rtl="0">
            <a:spcBef>
              <a:spcPts val="0"/>
            </a:spcBef>
            <a:spcAft>
              <a:spcPts val="0"/>
            </a:spcAft>
            <a:buSzPts val="1100"/>
            <a:buFont typeface="Arial"/>
            <a:buNone/>
          </a:pPr>
          <a:endParaRPr sz="1100" b="1"/>
        </a:p>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1. Fill in the forms</a:t>
          </a:r>
          <a:endParaRPr sz="1400"/>
        </a:p>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2. Percentages for SLT will be calculated automatically.</a:t>
          </a:r>
          <a:endParaRPr sz="1400"/>
        </a:p>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3. Use 'Copy Sheet' if you would like to make a copy in a new tab.</a:t>
          </a:r>
          <a:endParaRPr sz="1400"/>
        </a:p>
        <a:p>
          <a:pPr marL="0" lvl="0" indent="0" algn="l" rtl="0">
            <a:spcBef>
              <a:spcPts val="0"/>
            </a:spcBef>
            <a:spcAft>
              <a:spcPts val="0"/>
            </a:spcAft>
            <a:buClr>
              <a:schemeClr val="dk1"/>
            </a:buClr>
            <a:buSzPts val="1100"/>
            <a:buFont typeface="Calibri"/>
            <a:buNone/>
          </a:pPr>
          <a:r>
            <a:rPr lang="en-US" sz="1100" b="1">
              <a:solidFill>
                <a:schemeClr val="dk1"/>
              </a:solidFill>
              <a:latin typeface="Calibri"/>
              <a:ea typeface="Calibri"/>
              <a:cs typeface="Calibri"/>
              <a:sym typeface="Calibri"/>
            </a:rPr>
            <a:t>4. Click 'Update Index' to see the list of Courses that you have and the Percentages.</a:t>
          </a:r>
          <a:endParaRPr sz="1100"/>
        </a:p>
      </xdr:txBody>
    </xdr:sp>
    <xdr:clientData fLocksWithSheet="0"/>
  </xdr:oneCellAnchor>
  <xdr:oneCellAnchor>
    <xdr:from>
      <xdr:col>9</xdr:col>
      <xdr:colOff>133350</xdr:colOff>
      <xdr:row>1</xdr:row>
      <xdr:rowOff>19050</xdr:rowOff>
    </xdr:from>
    <xdr:ext cx="1085850" cy="400050"/>
    <xdr:pic>
      <xdr:nvPicPr>
        <xdr:cNvPr id="95" name="image1.png">
          <a:extLst>
            <a:ext uri="{FF2B5EF4-FFF2-40B4-BE49-F238E27FC236}">
              <a16:creationId xmlns:a16="http://schemas.microsoft.com/office/drawing/2014/main" id="{00000000-0008-0000-0200-00005F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18</xdr:col>
      <xdr:colOff>171450</xdr:colOff>
      <xdr:row>1</xdr:row>
      <xdr:rowOff>381000</xdr:rowOff>
    </xdr:from>
    <xdr:ext cx="714375" cy="180975"/>
    <xdr:pic>
      <xdr:nvPicPr>
        <xdr:cNvPr id="96" name="image3.jpg">
          <a:extLst>
            <a:ext uri="{FF2B5EF4-FFF2-40B4-BE49-F238E27FC236}">
              <a16:creationId xmlns:a16="http://schemas.microsoft.com/office/drawing/2014/main" id="{00000000-0008-0000-0200-000060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16</xdr:col>
      <xdr:colOff>600075</xdr:colOff>
      <xdr:row>1</xdr:row>
      <xdr:rowOff>381000</xdr:rowOff>
    </xdr:from>
    <xdr:ext cx="638175" cy="180975"/>
    <xdr:pic>
      <xdr:nvPicPr>
        <xdr:cNvPr id="97" name="image2.jpg">
          <a:extLst>
            <a:ext uri="{FF2B5EF4-FFF2-40B4-BE49-F238E27FC236}">
              <a16:creationId xmlns:a16="http://schemas.microsoft.com/office/drawing/2014/main" id="{00000000-0008-0000-0200-000061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15</xdr:col>
      <xdr:colOff>333375</xdr:colOff>
      <xdr:row>1</xdr:row>
      <xdr:rowOff>381000</xdr:rowOff>
    </xdr:from>
    <xdr:ext cx="619125" cy="180975"/>
    <xdr:pic>
      <xdr:nvPicPr>
        <xdr:cNvPr id="98" name="image4.jpg">
          <a:extLst>
            <a:ext uri="{FF2B5EF4-FFF2-40B4-BE49-F238E27FC236}">
              <a16:creationId xmlns:a16="http://schemas.microsoft.com/office/drawing/2014/main" id="{00000000-0008-0000-0200-000062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9</xdr:col>
      <xdr:colOff>133350</xdr:colOff>
      <xdr:row>1</xdr:row>
      <xdr:rowOff>19050</xdr:rowOff>
    </xdr:from>
    <xdr:ext cx="1085850" cy="400050"/>
    <xdr:pic>
      <xdr:nvPicPr>
        <xdr:cNvPr id="2" name="image1.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aryati@utm.my"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mailto:nurbiha@utm.m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X1003"/>
  <sheetViews>
    <sheetView tabSelected="1" topLeftCell="B41" workbookViewId="0">
      <selection activeCell="D43" sqref="D43:F43"/>
    </sheetView>
  </sheetViews>
  <sheetFormatPr defaultColWidth="14.44140625" defaultRowHeight="15" customHeight="1"/>
  <cols>
    <col min="1" max="1" width="0.33203125" customWidth="1"/>
    <col min="2" max="2" width="5" customWidth="1"/>
    <col min="3" max="3" width="4.109375" customWidth="1"/>
    <col min="4" max="4" width="3" customWidth="1"/>
    <col min="5" max="5" width="3.44140625" customWidth="1"/>
    <col min="6" max="6" width="40.6640625" customWidth="1"/>
    <col min="7" max="7" width="3.109375" customWidth="1"/>
    <col min="8" max="8" width="2" customWidth="1"/>
    <col min="9" max="9" width="4.5546875" customWidth="1"/>
    <col min="10" max="10" width="3.88671875" customWidth="1"/>
    <col min="11" max="12" width="2.6640625" customWidth="1"/>
    <col min="13" max="13" width="4.44140625" customWidth="1"/>
    <col min="14" max="14" width="3" customWidth="1"/>
    <col min="15" max="15" width="3.6640625" customWidth="1"/>
    <col min="16" max="16" width="7.5546875" customWidth="1"/>
    <col min="17" max="17" width="15.88671875" customWidth="1"/>
    <col min="18" max="18" width="12.6640625" customWidth="1"/>
    <col min="19" max="19" width="7.33203125" customWidth="1"/>
    <col min="20" max="21" width="8.6640625" customWidth="1"/>
  </cols>
  <sheetData>
    <row r="2" spans="2:19" ht="46.5" customHeight="1">
      <c r="B2" s="126" t="s">
        <v>0</v>
      </c>
      <c r="C2" s="107"/>
      <c r="D2" s="107"/>
      <c r="E2" s="107"/>
      <c r="F2" s="107"/>
      <c r="G2" s="107"/>
      <c r="H2" s="107"/>
      <c r="I2" s="107"/>
      <c r="J2" s="107"/>
      <c r="K2" s="107"/>
      <c r="L2" s="107"/>
      <c r="M2" s="107"/>
      <c r="N2" s="107"/>
      <c r="O2" s="107"/>
      <c r="P2" s="107"/>
      <c r="Q2" s="107"/>
      <c r="R2" s="107"/>
      <c r="S2" s="107"/>
    </row>
    <row r="4" spans="2:19" ht="20.25" customHeight="1">
      <c r="B4" s="127" t="s">
        <v>1</v>
      </c>
      <c r="C4" s="82"/>
      <c r="D4" s="82"/>
      <c r="E4" s="82"/>
      <c r="F4" s="80"/>
      <c r="G4" s="128" t="s">
        <v>204</v>
      </c>
      <c r="H4" s="82"/>
      <c r="I4" s="82"/>
      <c r="J4" s="82"/>
      <c r="K4" s="82"/>
      <c r="L4" s="82"/>
      <c r="M4" s="82"/>
      <c r="N4" s="82"/>
      <c r="O4" s="82"/>
      <c r="P4" s="82"/>
      <c r="Q4" s="82"/>
      <c r="R4" s="82"/>
      <c r="S4" s="80"/>
    </row>
    <row r="5" spans="2:19" ht="44.25" customHeight="1">
      <c r="B5" s="129" t="s">
        <v>2</v>
      </c>
      <c r="C5" s="82"/>
      <c r="D5" s="82"/>
      <c r="E5" s="82"/>
      <c r="F5" s="80"/>
      <c r="G5" s="130" t="s">
        <v>3</v>
      </c>
      <c r="H5" s="82"/>
      <c r="I5" s="82"/>
      <c r="J5" s="82"/>
      <c r="K5" s="82"/>
      <c r="L5" s="82"/>
      <c r="M5" s="82"/>
      <c r="N5" s="82"/>
      <c r="O5" s="82"/>
      <c r="P5" s="82"/>
      <c r="Q5" s="82"/>
      <c r="R5" s="82"/>
      <c r="S5" s="80"/>
    </row>
    <row r="6" spans="2:19" ht="24" customHeight="1">
      <c r="B6" s="129" t="s">
        <v>4</v>
      </c>
      <c r="C6" s="82"/>
      <c r="D6" s="82"/>
      <c r="E6" s="82"/>
      <c r="F6" s="80"/>
      <c r="G6" s="131" t="s">
        <v>192</v>
      </c>
      <c r="H6" s="82"/>
      <c r="I6" s="82"/>
      <c r="J6" s="82"/>
      <c r="K6" s="82"/>
      <c r="L6" s="82"/>
      <c r="M6" s="80"/>
      <c r="N6" s="124" t="s">
        <v>5</v>
      </c>
      <c r="O6" s="82"/>
      <c r="P6" s="80"/>
      <c r="Q6" s="125" t="s">
        <v>196</v>
      </c>
      <c r="R6" s="82"/>
      <c r="S6" s="80"/>
    </row>
    <row r="7" spans="2:19" ht="48" customHeight="1">
      <c r="B7" s="129" t="s">
        <v>6</v>
      </c>
      <c r="C7" s="82"/>
      <c r="D7" s="82"/>
      <c r="E7" s="82"/>
      <c r="F7" s="80"/>
      <c r="G7" s="131" t="s">
        <v>7</v>
      </c>
      <c r="H7" s="82"/>
      <c r="I7" s="82"/>
      <c r="J7" s="82"/>
      <c r="K7" s="82"/>
      <c r="L7" s="82"/>
      <c r="M7" s="80"/>
      <c r="N7" s="124" t="s">
        <v>8</v>
      </c>
      <c r="O7" s="82"/>
      <c r="P7" s="80"/>
      <c r="Q7" s="125"/>
      <c r="R7" s="82"/>
      <c r="S7" s="80"/>
    </row>
    <row r="8" spans="2:19" ht="20.25" customHeight="1">
      <c r="B8" s="129" t="s">
        <v>9</v>
      </c>
      <c r="C8" s="82"/>
      <c r="D8" s="82"/>
      <c r="E8" s="82"/>
      <c r="F8" s="80"/>
      <c r="G8" s="131">
        <v>3</v>
      </c>
      <c r="H8" s="82"/>
      <c r="I8" s="82"/>
      <c r="J8" s="82"/>
      <c r="K8" s="82"/>
      <c r="L8" s="82"/>
      <c r="M8" s="82"/>
      <c r="N8" s="82"/>
      <c r="O8" s="82"/>
      <c r="P8" s="82"/>
      <c r="Q8" s="82"/>
      <c r="R8" s="82"/>
      <c r="S8" s="80"/>
    </row>
    <row r="9" spans="2:19" ht="12.75" customHeight="1"/>
    <row r="10" spans="2:19" ht="223.8" customHeight="1">
      <c r="B10" s="133" t="s">
        <v>10</v>
      </c>
      <c r="C10" s="82"/>
      <c r="D10" s="82"/>
      <c r="E10" s="82"/>
      <c r="F10" s="80"/>
      <c r="G10" s="84" t="s">
        <v>249</v>
      </c>
      <c r="H10" s="82"/>
      <c r="I10" s="82"/>
      <c r="J10" s="82"/>
      <c r="K10" s="82"/>
      <c r="L10" s="82"/>
      <c r="M10" s="82"/>
      <c r="N10" s="82"/>
      <c r="O10" s="82"/>
      <c r="P10" s="82"/>
      <c r="Q10" s="82"/>
      <c r="R10" s="82"/>
      <c r="S10" s="80"/>
    </row>
    <row r="11" spans="2:19" ht="18" customHeight="1">
      <c r="B11" s="133" t="s">
        <v>11</v>
      </c>
      <c r="C11" s="82"/>
      <c r="D11" s="82"/>
      <c r="E11" s="82"/>
      <c r="F11" s="80"/>
      <c r="G11" s="132" t="s">
        <v>193</v>
      </c>
      <c r="H11" s="82"/>
      <c r="I11" s="82"/>
      <c r="J11" s="82"/>
      <c r="K11" s="82"/>
      <c r="L11" s="82"/>
      <c r="M11" s="82"/>
      <c r="N11" s="82"/>
      <c r="O11" s="82"/>
      <c r="P11" s="82"/>
      <c r="Q11" s="82"/>
      <c r="R11" s="82"/>
      <c r="S11" s="80"/>
    </row>
    <row r="12" spans="2:19" ht="24.75" customHeight="1">
      <c r="B12" s="134" t="s">
        <v>12</v>
      </c>
      <c r="C12" s="93"/>
      <c r="D12" s="93"/>
      <c r="E12" s="93"/>
      <c r="F12" s="94"/>
      <c r="G12" s="133" t="s">
        <v>13</v>
      </c>
      <c r="H12" s="82"/>
      <c r="I12" s="82"/>
      <c r="J12" s="82"/>
      <c r="K12" s="82"/>
      <c r="L12" s="82"/>
      <c r="M12" s="82"/>
      <c r="N12" s="82"/>
      <c r="O12" s="80"/>
      <c r="P12" s="2" t="s">
        <v>14</v>
      </c>
      <c r="Q12" s="2" t="s">
        <v>15</v>
      </c>
      <c r="R12" s="133" t="s">
        <v>16</v>
      </c>
      <c r="S12" s="80"/>
    </row>
    <row r="13" spans="2:19" ht="14.4">
      <c r="B13" s="106"/>
      <c r="C13" s="107"/>
      <c r="D13" s="107"/>
      <c r="E13" s="107"/>
      <c r="F13" s="108"/>
      <c r="G13" s="138" t="s">
        <v>193</v>
      </c>
      <c r="H13" s="82"/>
      <c r="I13" s="82"/>
      <c r="J13" s="82"/>
      <c r="K13" s="82"/>
      <c r="L13" s="82"/>
      <c r="M13" s="82"/>
      <c r="N13" s="82"/>
      <c r="O13" s="82"/>
      <c r="P13" s="3" t="s">
        <v>194</v>
      </c>
      <c r="Q13" s="4">
        <v>115927775</v>
      </c>
      <c r="R13" s="139" t="s">
        <v>195</v>
      </c>
      <c r="S13" s="80"/>
    </row>
    <row r="14" spans="2:19" ht="14.4">
      <c r="B14" s="135"/>
      <c r="C14" s="136"/>
      <c r="D14" s="136"/>
      <c r="E14" s="136"/>
      <c r="F14" s="137"/>
      <c r="G14" s="138"/>
      <c r="H14" s="82"/>
      <c r="I14" s="82"/>
      <c r="J14" s="82"/>
      <c r="K14" s="82"/>
      <c r="L14" s="82"/>
      <c r="M14" s="82"/>
      <c r="N14" s="82"/>
      <c r="O14" s="80"/>
      <c r="P14" s="3"/>
      <c r="Q14" s="4"/>
      <c r="R14" s="140"/>
      <c r="S14" s="80"/>
    </row>
    <row r="15" spans="2:19" ht="14.4">
      <c r="C15" s="5"/>
      <c r="D15" s="5"/>
      <c r="E15" s="5"/>
    </row>
    <row r="16" spans="2:19" ht="14.25" customHeight="1">
      <c r="B16" s="143" t="s">
        <v>17</v>
      </c>
      <c r="C16" s="107"/>
      <c r="D16" s="107"/>
      <c r="E16" s="107"/>
      <c r="F16" s="107"/>
      <c r="G16" s="107"/>
      <c r="H16" s="107"/>
      <c r="I16" s="107"/>
      <c r="J16" s="107"/>
      <c r="K16" s="107"/>
      <c r="L16" s="107"/>
      <c r="M16" s="107"/>
      <c r="N16" s="107"/>
      <c r="O16" s="107"/>
      <c r="P16" s="107"/>
      <c r="Q16" s="107"/>
      <c r="R16" s="107"/>
      <c r="S16" s="107"/>
    </row>
    <row r="17" spans="1:21" ht="15" customHeight="1">
      <c r="B17" s="107"/>
      <c r="C17" s="107"/>
      <c r="D17" s="107"/>
      <c r="E17" s="107"/>
      <c r="F17" s="107"/>
      <c r="G17" s="107"/>
      <c r="H17" s="107"/>
      <c r="I17" s="107"/>
      <c r="J17" s="107"/>
      <c r="K17" s="107"/>
      <c r="L17" s="107"/>
      <c r="M17" s="107"/>
      <c r="N17" s="107"/>
      <c r="O17" s="107"/>
      <c r="P17" s="107"/>
      <c r="Q17" s="107"/>
      <c r="R17" s="107"/>
      <c r="S17" s="107"/>
    </row>
    <row r="19" spans="1:21" ht="60" customHeight="1" thickBot="1">
      <c r="A19" s="7"/>
      <c r="B19" s="144" t="s">
        <v>18</v>
      </c>
      <c r="C19" s="80"/>
      <c r="D19" s="144" t="s">
        <v>19</v>
      </c>
      <c r="E19" s="82"/>
      <c r="F19" s="82"/>
      <c r="G19" s="82"/>
      <c r="H19" s="82"/>
      <c r="I19" s="82"/>
      <c r="J19" s="82"/>
      <c r="K19" s="80"/>
      <c r="L19" s="145" t="s">
        <v>20</v>
      </c>
      <c r="M19" s="80"/>
      <c r="N19" s="146" t="s">
        <v>21</v>
      </c>
      <c r="O19" s="82"/>
      <c r="P19" s="80"/>
      <c r="Q19" s="63" t="s">
        <v>22</v>
      </c>
      <c r="R19" s="141" t="s">
        <v>23</v>
      </c>
      <c r="S19" s="80"/>
      <c r="T19" s="7"/>
      <c r="U19" s="7"/>
    </row>
    <row r="20" spans="1:21" ht="81.599999999999994" customHeight="1" thickBot="1">
      <c r="B20" s="149" t="s">
        <v>24</v>
      </c>
      <c r="C20" s="80"/>
      <c r="D20" s="215" t="s">
        <v>250</v>
      </c>
      <c r="E20" s="147"/>
      <c r="F20" s="147"/>
      <c r="G20" s="147"/>
      <c r="H20" s="147"/>
      <c r="I20" s="147"/>
      <c r="J20" s="147"/>
      <c r="K20" s="148"/>
      <c r="L20" s="149" t="s">
        <v>28</v>
      </c>
      <c r="M20" s="80"/>
      <c r="N20" s="150" t="s">
        <v>199</v>
      </c>
      <c r="O20" s="82"/>
      <c r="P20" s="80"/>
      <c r="Q20" s="67" t="s">
        <v>187</v>
      </c>
      <c r="R20" s="142" t="s">
        <v>202</v>
      </c>
      <c r="S20" s="80"/>
    </row>
    <row r="21" spans="1:21" ht="75.599999999999994" customHeight="1" thickBot="1">
      <c r="B21" s="149" t="s">
        <v>25</v>
      </c>
      <c r="C21" s="80"/>
      <c r="D21" s="215" t="s">
        <v>251</v>
      </c>
      <c r="E21" s="147"/>
      <c r="F21" s="147"/>
      <c r="G21" s="147"/>
      <c r="H21" s="147"/>
      <c r="I21" s="147"/>
      <c r="J21" s="147"/>
      <c r="K21" s="148"/>
      <c r="L21" s="151" t="s">
        <v>197</v>
      </c>
      <c r="M21" s="152"/>
      <c r="N21" s="150" t="s">
        <v>198</v>
      </c>
      <c r="O21" s="82"/>
      <c r="P21" s="80"/>
      <c r="Q21" s="62" t="s">
        <v>188</v>
      </c>
      <c r="R21" s="79" t="s">
        <v>257</v>
      </c>
      <c r="S21" s="80"/>
    </row>
    <row r="22" spans="1:21" ht="61.8" customHeight="1" thickBot="1">
      <c r="B22" s="149" t="s">
        <v>27</v>
      </c>
      <c r="C22" s="80"/>
      <c r="D22" s="215" t="s">
        <v>252</v>
      </c>
      <c r="E22" s="147"/>
      <c r="F22" s="147"/>
      <c r="G22" s="147"/>
      <c r="H22" s="147"/>
      <c r="I22" s="147"/>
      <c r="J22" s="147"/>
      <c r="K22" s="148"/>
      <c r="L22" s="153" t="s">
        <v>28</v>
      </c>
      <c r="M22" s="152"/>
      <c r="N22" s="150" t="s">
        <v>199</v>
      </c>
      <c r="O22" s="82"/>
      <c r="P22" s="154"/>
      <c r="Q22" s="66" t="s">
        <v>188</v>
      </c>
      <c r="R22" s="79" t="s">
        <v>255</v>
      </c>
      <c r="S22" s="80"/>
    </row>
    <row r="23" spans="1:21" ht="149.4" customHeight="1">
      <c r="B23" s="84" t="s">
        <v>256</v>
      </c>
      <c r="C23" s="82"/>
      <c r="D23" s="82"/>
      <c r="E23" s="82"/>
      <c r="F23" s="82"/>
      <c r="G23" s="82"/>
      <c r="H23" s="82"/>
      <c r="I23" s="82"/>
      <c r="J23" s="82"/>
      <c r="K23" s="82"/>
      <c r="L23" s="82"/>
      <c r="M23" s="82"/>
      <c r="N23" s="82"/>
      <c r="O23" s="82"/>
      <c r="P23" s="82"/>
      <c r="Q23" s="82"/>
      <c r="R23" s="82"/>
      <c r="S23" s="80"/>
    </row>
    <row r="24" spans="1:21" ht="9" customHeight="1">
      <c r="B24" s="6"/>
      <c r="C24" s="6"/>
      <c r="D24" s="6"/>
      <c r="E24" s="6"/>
      <c r="F24" s="6"/>
      <c r="G24" s="6"/>
      <c r="H24" s="6"/>
      <c r="I24" s="6"/>
      <c r="J24" s="6"/>
      <c r="K24" s="6"/>
      <c r="L24" s="6"/>
      <c r="M24" s="6"/>
      <c r="N24" s="6"/>
      <c r="O24" s="6"/>
      <c r="P24" s="6"/>
      <c r="Q24" s="6"/>
      <c r="R24" s="6"/>
      <c r="S24" s="6"/>
    </row>
    <row r="25" spans="1:21" ht="36.75" customHeight="1">
      <c r="B25" s="112" t="s">
        <v>30</v>
      </c>
      <c r="C25" s="82"/>
      <c r="D25" s="82"/>
      <c r="E25" s="82"/>
      <c r="F25" s="82"/>
      <c r="G25" s="82"/>
      <c r="H25" s="82"/>
      <c r="I25" s="82"/>
      <c r="J25" s="82"/>
      <c r="K25" s="82"/>
      <c r="L25" s="82"/>
      <c r="M25" s="82"/>
      <c r="N25" s="82"/>
      <c r="O25" s="82"/>
      <c r="P25" s="82"/>
      <c r="Q25" s="82"/>
      <c r="R25" s="82"/>
      <c r="S25" s="80"/>
    </row>
    <row r="26" spans="1:21" ht="15.75" customHeight="1">
      <c r="G26" s="5"/>
    </row>
    <row r="27" spans="1:21" ht="15.75" customHeight="1">
      <c r="B27" s="113" t="s">
        <v>31</v>
      </c>
      <c r="C27" s="96"/>
      <c r="D27" s="96"/>
      <c r="E27" s="96"/>
      <c r="F27" s="96"/>
      <c r="G27" s="96"/>
      <c r="H27" s="96"/>
      <c r="I27" s="96"/>
      <c r="J27" s="96"/>
      <c r="K27" s="96"/>
      <c r="L27" s="96"/>
      <c r="M27" s="96"/>
      <c r="N27" s="96"/>
      <c r="O27" s="96"/>
      <c r="P27" s="96"/>
      <c r="Q27" s="96"/>
      <c r="R27" s="96"/>
      <c r="S27" s="96"/>
    </row>
    <row r="28" spans="1:21" ht="15.75" customHeight="1">
      <c r="B28" s="68" t="s">
        <v>18</v>
      </c>
      <c r="C28" s="114" t="s">
        <v>32</v>
      </c>
      <c r="D28" s="115"/>
      <c r="E28" s="115"/>
      <c r="F28" s="115"/>
      <c r="G28" s="114" t="s">
        <v>33</v>
      </c>
      <c r="H28" s="115"/>
      <c r="I28" s="115"/>
      <c r="J28" s="115"/>
      <c r="K28" s="115"/>
      <c r="L28" s="115"/>
      <c r="M28" s="115"/>
      <c r="N28" s="115"/>
      <c r="O28" s="115"/>
      <c r="P28" s="115"/>
      <c r="Q28" s="115"/>
      <c r="R28" s="115"/>
      <c r="S28" s="116"/>
    </row>
    <row r="29" spans="1:21" ht="43.2" customHeight="1">
      <c r="B29" s="69">
        <v>1</v>
      </c>
      <c r="C29" s="122" t="s">
        <v>205</v>
      </c>
      <c r="D29" s="122"/>
      <c r="E29" s="122"/>
      <c r="F29" s="122"/>
      <c r="G29" s="122" t="s">
        <v>206</v>
      </c>
      <c r="H29" s="122"/>
      <c r="I29" s="122"/>
      <c r="J29" s="122"/>
      <c r="K29" s="122"/>
      <c r="L29" s="122"/>
      <c r="M29" s="122"/>
      <c r="N29" s="122"/>
      <c r="O29" s="122"/>
      <c r="P29" s="122"/>
      <c r="Q29" s="122"/>
      <c r="R29" s="122"/>
      <c r="S29" s="122"/>
    </row>
    <row r="30" spans="1:21" ht="28.8" customHeight="1">
      <c r="B30" s="70">
        <v>2</v>
      </c>
      <c r="C30" s="123" t="s">
        <v>207</v>
      </c>
      <c r="D30" s="123"/>
      <c r="E30" s="123"/>
      <c r="F30" s="123"/>
      <c r="G30" s="122" t="s">
        <v>208</v>
      </c>
      <c r="H30" s="122"/>
      <c r="I30" s="122"/>
      <c r="J30" s="122"/>
      <c r="K30" s="122"/>
      <c r="L30" s="122"/>
      <c r="M30" s="122"/>
      <c r="N30" s="122"/>
      <c r="O30" s="122"/>
      <c r="P30" s="122"/>
      <c r="Q30" s="122"/>
      <c r="R30" s="122"/>
      <c r="S30" s="122"/>
    </row>
    <row r="31" spans="1:21" ht="28.8" customHeight="1">
      <c r="B31" s="70">
        <v>3</v>
      </c>
      <c r="C31" s="123" t="s">
        <v>209</v>
      </c>
      <c r="D31" s="123"/>
      <c r="E31" s="123"/>
      <c r="F31" s="123"/>
      <c r="G31" s="122" t="s">
        <v>210</v>
      </c>
      <c r="H31" s="122"/>
      <c r="I31" s="122"/>
      <c r="J31" s="122"/>
      <c r="K31" s="122"/>
      <c r="L31" s="122"/>
      <c r="M31" s="122"/>
      <c r="N31" s="122"/>
      <c r="O31" s="122"/>
      <c r="P31" s="122"/>
      <c r="Q31" s="122"/>
      <c r="R31" s="122"/>
      <c r="S31" s="122"/>
    </row>
    <row r="32" spans="1:21" ht="75" customHeight="1">
      <c r="B32" s="70">
        <v>4</v>
      </c>
      <c r="C32" s="123" t="s">
        <v>211</v>
      </c>
      <c r="D32" s="123"/>
      <c r="E32" s="123"/>
      <c r="F32" s="123"/>
      <c r="G32" s="122" t="s">
        <v>212</v>
      </c>
      <c r="H32" s="122"/>
      <c r="I32" s="122"/>
      <c r="J32" s="122"/>
      <c r="K32" s="122"/>
      <c r="L32" s="122"/>
      <c r="M32" s="122"/>
      <c r="N32" s="122"/>
      <c r="O32" s="122"/>
      <c r="P32" s="122"/>
      <c r="Q32" s="122"/>
      <c r="R32" s="122"/>
      <c r="S32" s="122"/>
    </row>
    <row r="33" spans="2:23" ht="64.2" customHeight="1">
      <c r="B33" s="71">
        <v>5</v>
      </c>
      <c r="C33" s="117" t="s">
        <v>34</v>
      </c>
      <c r="D33" s="118"/>
      <c r="E33" s="118"/>
      <c r="F33" s="118"/>
      <c r="G33" s="119" t="s">
        <v>35</v>
      </c>
      <c r="H33" s="118"/>
      <c r="I33" s="118"/>
      <c r="J33" s="118"/>
      <c r="K33" s="118"/>
      <c r="L33" s="118"/>
      <c r="M33" s="118"/>
      <c r="N33" s="118"/>
      <c r="O33" s="118"/>
      <c r="P33" s="118"/>
      <c r="Q33" s="118"/>
      <c r="R33" s="118"/>
      <c r="S33" s="118"/>
    </row>
    <row r="34" spans="2:23" ht="15.75" customHeight="1"/>
    <row r="35" spans="2:23" ht="28.5" customHeight="1">
      <c r="B35" s="156" t="s">
        <v>36</v>
      </c>
      <c r="C35" s="82"/>
      <c r="D35" s="82"/>
      <c r="E35" s="82"/>
      <c r="F35" s="82"/>
      <c r="G35" s="82"/>
      <c r="H35" s="82"/>
      <c r="I35" s="82"/>
      <c r="J35" s="82"/>
      <c r="K35" s="82"/>
      <c r="L35" s="82"/>
      <c r="M35" s="82"/>
      <c r="N35" s="82"/>
      <c r="O35" s="82"/>
      <c r="P35" s="82"/>
      <c r="Q35" s="82"/>
      <c r="R35" s="82"/>
      <c r="S35" s="80"/>
    </row>
    <row r="36" spans="2:23" ht="18" customHeight="1">
      <c r="B36" s="157" t="s">
        <v>213</v>
      </c>
      <c r="C36" s="82"/>
      <c r="D36" s="82"/>
      <c r="E36" s="82"/>
      <c r="F36" s="82"/>
      <c r="G36" s="82"/>
      <c r="H36" s="82"/>
      <c r="I36" s="82"/>
      <c r="J36" s="82"/>
      <c r="K36" s="82"/>
      <c r="L36" s="82"/>
      <c r="M36" s="82"/>
      <c r="N36" s="82"/>
      <c r="O36" s="82"/>
      <c r="P36" s="82"/>
      <c r="Q36" s="82"/>
      <c r="R36" s="82"/>
      <c r="S36" s="80"/>
    </row>
    <row r="37" spans="2:23" ht="15.75" customHeight="1"/>
    <row r="38" spans="2:23" ht="15.75" customHeight="1">
      <c r="B38" s="158" t="s">
        <v>37</v>
      </c>
      <c r="C38" s="107"/>
      <c r="D38" s="107"/>
      <c r="E38" s="107"/>
      <c r="F38" s="107"/>
      <c r="G38" s="107"/>
      <c r="H38" s="107"/>
      <c r="I38" s="107"/>
      <c r="J38" s="107"/>
      <c r="K38" s="107"/>
      <c r="L38" s="107"/>
      <c r="M38" s="107"/>
      <c r="N38" s="107"/>
      <c r="O38" s="107"/>
      <c r="P38" s="107"/>
      <c r="Q38" s="107"/>
      <c r="R38" s="107"/>
      <c r="S38" s="107"/>
    </row>
    <row r="39" spans="2:23" ht="19.5" customHeight="1">
      <c r="B39" s="159" t="s">
        <v>38</v>
      </c>
      <c r="C39" s="160"/>
      <c r="D39" s="159" t="s">
        <v>39</v>
      </c>
      <c r="E39" s="93"/>
      <c r="F39" s="94"/>
      <c r="G39" s="105" t="s">
        <v>19</v>
      </c>
      <c r="H39" s="94"/>
      <c r="I39" s="109" t="s">
        <v>40</v>
      </c>
      <c r="J39" s="82"/>
      <c r="K39" s="82"/>
      <c r="L39" s="82"/>
      <c r="M39" s="82"/>
      <c r="N39" s="82"/>
      <c r="O39" s="82"/>
      <c r="P39" s="82"/>
      <c r="Q39" s="82"/>
      <c r="R39" s="80"/>
      <c r="S39" s="162" t="s">
        <v>41</v>
      </c>
    </row>
    <row r="40" spans="2:23" ht="40.5" customHeight="1">
      <c r="B40" s="106"/>
      <c r="C40" s="78"/>
      <c r="D40" s="106"/>
      <c r="E40" s="107"/>
      <c r="F40" s="108"/>
      <c r="G40" s="106"/>
      <c r="H40" s="108"/>
      <c r="I40" s="120" t="s">
        <v>42</v>
      </c>
      <c r="J40" s="82"/>
      <c r="K40" s="82"/>
      <c r="L40" s="82"/>
      <c r="M40" s="82"/>
      <c r="N40" s="82"/>
      <c r="O40" s="82"/>
      <c r="P40" s="80"/>
      <c r="Q40" s="121" t="s">
        <v>43</v>
      </c>
      <c r="R40" s="80"/>
      <c r="S40" s="163"/>
    </row>
    <row r="41" spans="2:23" ht="46.5" customHeight="1">
      <c r="B41" s="106"/>
      <c r="C41" s="78"/>
      <c r="D41" s="106"/>
      <c r="E41" s="107"/>
      <c r="F41" s="108"/>
      <c r="G41" s="106"/>
      <c r="H41" s="108"/>
      <c r="I41" s="171" t="s">
        <v>44</v>
      </c>
      <c r="J41" s="82"/>
      <c r="K41" s="82"/>
      <c r="L41" s="80"/>
      <c r="M41" s="172" t="s">
        <v>45</v>
      </c>
      <c r="N41" s="82"/>
      <c r="O41" s="82"/>
      <c r="P41" s="80"/>
      <c r="Q41" s="173" t="s">
        <v>46</v>
      </c>
      <c r="R41" s="155" t="s">
        <v>47</v>
      </c>
      <c r="S41" s="163"/>
    </row>
    <row r="42" spans="2:23" ht="15.75" customHeight="1">
      <c r="B42" s="95"/>
      <c r="C42" s="161"/>
      <c r="D42" s="95"/>
      <c r="E42" s="96"/>
      <c r="F42" s="97"/>
      <c r="G42" s="95"/>
      <c r="H42" s="97"/>
      <c r="I42" s="11" t="s">
        <v>48</v>
      </c>
      <c r="J42" s="11" t="s">
        <v>49</v>
      </c>
      <c r="K42" s="11" t="s">
        <v>50</v>
      </c>
      <c r="L42" s="11" t="s">
        <v>51</v>
      </c>
      <c r="M42" s="11" t="s">
        <v>48</v>
      </c>
      <c r="N42" s="11" t="s">
        <v>49</v>
      </c>
      <c r="O42" s="11" t="s">
        <v>50</v>
      </c>
      <c r="P42" s="11" t="s">
        <v>51</v>
      </c>
      <c r="Q42" s="102"/>
      <c r="R42" s="102"/>
      <c r="S42" s="102"/>
    </row>
    <row r="43" spans="2:23" ht="37.5" customHeight="1">
      <c r="B43" s="165" t="s">
        <v>224</v>
      </c>
      <c r="C43" s="94"/>
      <c r="D43" s="166" t="s">
        <v>190</v>
      </c>
      <c r="E43" s="115"/>
      <c r="F43" s="167"/>
      <c r="G43" s="168"/>
      <c r="H43" s="94"/>
      <c r="I43" s="12"/>
      <c r="J43" s="12"/>
      <c r="K43" s="12"/>
      <c r="L43" s="12"/>
      <c r="M43" s="12">
        <v>2</v>
      </c>
      <c r="N43" s="12"/>
      <c r="O43" s="13">
        <v>1</v>
      </c>
      <c r="P43" s="12"/>
      <c r="Q43" s="12">
        <v>1</v>
      </c>
      <c r="R43" s="12">
        <v>3</v>
      </c>
      <c r="S43" s="12">
        <f t="shared" ref="S43:S57" si="0">SUM(I43:R43)</f>
        <v>7</v>
      </c>
      <c r="U43" t="s">
        <v>242</v>
      </c>
    </row>
    <row r="44" spans="2:23" ht="40.200000000000003" customHeight="1">
      <c r="B44" s="79" t="s">
        <v>225</v>
      </c>
      <c r="C44" s="80"/>
      <c r="D44" s="169" t="s">
        <v>217</v>
      </c>
      <c r="E44" s="115"/>
      <c r="F44" s="167"/>
      <c r="G44" s="83"/>
      <c r="H44" s="80"/>
      <c r="I44" s="13"/>
      <c r="J44" s="13"/>
      <c r="K44" s="13"/>
      <c r="L44" s="13"/>
      <c r="M44" s="13">
        <v>2</v>
      </c>
      <c r="N44" s="13"/>
      <c r="O44" s="13">
        <v>1</v>
      </c>
      <c r="P44" s="13"/>
      <c r="Q44" s="12">
        <v>1</v>
      </c>
      <c r="R44" s="12">
        <v>3</v>
      </c>
      <c r="S44" s="12">
        <f t="shared" si="0"/>
        <v>7</v>
      </c>
      <c r="U44" t="s">
        <v>247</v>
      </c>
    </row>
    <row r="45" spans="2:23" ht="84" customHeight="1">
      <c r="B45" s="170" t="s">
        <v>226</v>
      </c>
      <c r="C45" s="97"/>
      <c r="D45" s="86" t="s">
        <v>246</v>
      </c>
      <c r="E45" s="82"/>
      <c r="F45" s="80"/>
      <c r="G45" s="164"/>
      <c r="H45" s="97"/>
      <c r="I45" s="65">
        <v>1</v>
      </c>
      <c r="J45" s="65"/>
      <c r="K45" s="65">
        <v>2</v>
      </c>
      <c r="L45" s="65"/>
      <c r="M45" s="65"/>
      <c r="N45" s="65"/>
      <c r="O45" s="13"/>
      <c r="P45" s="65"/>
      <c r="Q45" s="12"/>
      <c r="R45" s="12">
        <v>3</v>
      </c>
      <c r="S45" s="12">
        <f t="shared" si="0"/>
        <v>6</v>
      </c>
      <c r="U45" s="75" t="s">
        <v>275</v>
      </c>
    </row>
    <row r="46" spans="2:23" ht="38.25" customHeight="1">
      <c r="B46" s="79" t="s">
        <v>227</v>
      </c>
      <c r="C46" s="80"/>
      <c r="D46" s="86" t="s">
        <v>218</v>
      </c>
      <c r="E46" s="82"/>
      <c r="F46" s="80"/>
      <c r="G46" s="83"/>
      <c r="H46" s="80"/>
      <c r="I46" s="13"/>
      <c r="J46" s="13"/>
      <c r="K46" s="13">
        <v>3</v>
      </c>
      <c r="L46" s="13"/>
      <c r="M46" s="13"/>
      <c r="N46" s="13"/>
      <c r="O46" s="13"/>
      <c r="P46" s="13"/>
      <c r="Q46" s="12"/>
      <c r="R46" s="12">
        <v>3</v>
      </c>
      <c r="S46" s="12">
        <f t="shared" si="0"/>
        <v>6</v>
      </c>
      <c r="U46" s="74" t="s">
        <v>248</v>
      </c>
    </row>
    <row r="47" spans="2:23" ht="39" customHeight="1">
      <c r="B47" s="79" t="s">
        <v>228</v>
      </c>
      <c r="C47" s="82"/>
      <c r="D47" s="86" t="s">
        <v>264</v>
      </c>
      <c r="E47" s="82"/>
      <c r="F47" s="80"/>
      <c r="G47" s="87"/>
      <c r="H47" s="80"/>
      <c r="I47" s="13"/>
      <c r="J47" s="13"/>
      <c r="K47" s="13">
        <v>3</v>
      </c>
      <c r="L47" s="13"/>
      <c r="M47" s="13"/>
      <c r="N47" s="13"/>
      <c r="O47" s="13"/>
      <c r="P47" s="13"/>
      <c r="Q47" s="12"/>
      <c r="R47" s="12">
        <v>3</v>
      </c>
      <c r="S47" s="12">
        <f t="shared" si="0"/>
        <v>6</v>
      </c>
      <c r="U47" s="75" t="s">
        <v>272</v>
      </c>
      <c r="W47" t="s">
        <v>276</v>
      </c>
    </row>
    <row r="48" spans="2:23" ht="36.75" customHeight="1">
      <c r="B48" s="79" t="s">
        <v>229</v>
      </c>
      <c r="C48" s="80"/>
      <c r="D48" s="88" t="s">
        <v>219</v>
      </c>
      <c r="E48" s="89"/>
      <c r="F48" s="90"/>
      <c r="G48" s="83"/>
      <c r="H48" s="80"/>
      <c r="I48" s="13">
        <v>1</v>
      </c>
      <c r="J48" s="13"/>
      <c r="K48" s="13">
        <v>2</v>
      </c>
      <c r="L48" s="13"/>
      <c r="M48" s="13"/>
      <c r="N48" s="13"/>
      <c r="O48" s="13"/>
      <c r="P48" s="13"/>
      <c r="Q48" s="12">
        <v>1</v>
      </c>
      <c r="R48" s="12">
        <v>3</v>
      </c>
      <c r="S48" s="12">
        <f t="shared" si="0"/>
        <v>7</v>
      </c>
      <c r="U48" s="75" t="s">
        <v>272</v>
      </c>
    </row>
    <row r="49" spans="2:23" ht="40.5" customHeight="1">
      <c r="B49" s="79" t="s">
        <v>230</v>
      </c>
      <c r="C49" s="80"/>
      <c r="D49" s="86" t="s">
        <v>221</v>
      </c>
      <c r="E49" s="82"/>
      <c r="F49" s="80"/>
      <c r="G49" s="83"/>
      <c r="H49" s="80"/>
      <c r="I49" s="13"/>
      <c r="J49" s="13"/>
      <c r="K49" s="13"/>
      <c r="L49" s="13"/>
      <c r="M49" s="13">
        <v>1</v>
      </c>
      <c r="N49" s="13"/>
      <c r="O49" s="13">
        <v>2</v>
      </c>
      <c r="P49" s="13"/>
      <c r="Q49" s="12">
        <v>1</v>
      </c>
      <c r="R49" s="12">
        <v>3</v>
      </c>
      <c r="S49" s="12">
        <f t="shared" si="0"/>
        <v>7</v>
      </c>
      <c r="U49" s="75" t="s">
        <v>269</v>
      </c>
    </row>
    <row r="50" spans="2:23" ht="36" customHeight="1">
      <c r="B50" s="79" t="s">
        <v>231</v>
      </c>
      <c r="C50" s="80"/>
      <c r="D50" s="81" t="s">
        <v>59</v>
      </c>
      <c r="E50" s="82"/>
      <c r="F50" s="80"/>
      <c r="G50" s="83"/>
      <c r="H50" s="80"/>
      <c r="I50" s="13"/>
      <c r="J50" s="13"/>
      <c r="K50" s="13"/>
      <c r="L50" s="13"/>
      <c r="M50" s="13"/>
      <c r="N50" s="13"/>
      <c r="O50" s="13"/>
      <c r="P50" s="13"/>
      <c r="Q50" s="12"/>
      <c r="R50" s="12"/>
      <c r="S50" s="12">
        <f t="shared" si="0"/>
        <v>0</v>
      </c>
    </row>
    <row r="51" spans="2:23" ht="36" customHeight="1">
      <c r="B51" s="79" t="s">
        <v>232</v>
      </c>
      <c r="C51" s="80"/>
      <c r="D51" s="86" t="s">
        <v>220</v>
      </c>
      <c r="E51" s="82"/>
      <c r="F51" s="80"/>
      <c r="G51" s="83"/>
      <c r="H51" s="80"/>
      <c r="I51" s="13">
        <v>1</v>
      </c>
      <c r="J51" s="13"/>
      <c r="K51" s="13">
        <v>2</v>
      </c>
      <c r="L51" s="13"/>
      <c r="M51" s="13"/>
      <c r="N51" s="13"/>
      <c r="O51" s="13"/>
      <c r="P51" s="13"/>
      <c r="Q51" s="12">
        <v>1</v>
      </c>
      <c r="R51" s="12">
        <v>3</v>
      </c>
      <c r="S51" s="12">
        <f t="shared" si="0"/>
        <v>7</v>
      </c>
      <c r="U51" s="75" t="s">
        <v>270</v>
      </c>
      <c r="W51" s="75" t="s">
        <v>272</v>
      </c>
    </row>
    <row r="52" spans="2:23" ht="42" customHeight="1">
      <c r="B52" s="79" t="s">
        <v>233</v>
      </c>
      <c r="C52" s="80"/>
      <c r="D52" s="86" t="s">
        <v>222</v>
      </c>
      <c r="E52" s="82"/>
      <c r="F52" s="80"/>
      <c r="G52" s="83"/>
      <c r="H52" s="80"/>
      <c r="I52" s="13">
        <v>1</v>
      </c>
      <c r="J52" s="13"/>
      <c r="K52" s="13">
        <v>2</v>
      </c>
      <c r="L52" s="13"/>
      <c r="M52" s="13"/>
      <c r="N52" s="13"/>
      <c r="O52" s="13"/>
      <c r="P52" s="13"/>
      <c r="Q52" s="12">
        <v>1</v>
      </c>
      <c r="R52" s="12">
        <v>3</v>
      </c>
      <c r="S52" s="12">
        <f t="shared" si="0"/>
        <v>7</v>
      </c>
      <c r="U52" s="73" t="s">
        <v>239</v>
      </c>
      <c r="W52" s="76" t="s">
        <v>271</v>
      </c>
    </row>
    <row r="53" spans="2:23" ht="39.75" customHeight="1">
      <c r="B53" s="79" t="s">
        <v>234</v>
      </c>
      <c r="C53" s="80"/>
      <c r="D53" s="86" t="s">
        <v>223</v>
      </c>
      <c r="E53" s="82"/>
      <c r="F53" s="80"/>
      <c r="G53" s="83"/>
      <c r="H53" s="80"/>
      <c r="I53" s="13">
        <v>1</v>
      </c>
      <c r="J53" s="13"/>
      <c r="K53" s="13">
        <v>2</v>
      </c>
      <c r="L53" s="13"/>
      <c r="M53" s="13"/>
      <c r="N53" s="13"/>
      <c r="O53" s="13"/>
      <c r="P53" s="13"/>
      <c r="Q53" s="12">
        <v>1</v>
      </c>
      <c r="R53" s="12">
        <v>3</v>
      </c>
      <c r="S53" s="12">
        <f t="shared" si="0"/>
        <v>7</v>
      </c>
      <c r="U53" s="73" t="s">
        <v>240</v>
      </c>
      <c r="W53" s="76" t="s">
        <v>271</v>
      </c>
    </row>
    <row r="54" spans="2:23" ht="42" customHeight="1">
      <c r="B54" s="79" t="s">
        <v>235</v>
      </c>
      <c r="C54" s="80"/>
      <c r="D54" s="86" t="s">
        <v>262</v>
      </c>
      <c r="E54" s="82"/>
      <c r="F54" s="80"/>
      <c r="G54" s="83"/>
      <c r="H54" s="80"/>
      <c r="I54" s="13">
        <v>1</v>
      </c>
      <c r="J54" s="13"/>
      <c r="K54" s="13">
        <v>2</v>
      </c>
      <c r="L54" s="13"/>
      <c r="M54" s="13"/>
      <c r="N54" s="13"/>
      <c r="O54" s="13"/>
      <c r="P54" s="13"/>
      <c r="Q54" s="12">
        <v>1</v>
      </c>
      <c r="R54" s="12">
        <v>3</v>
      </c>
      <c r="S54" s="12">
        <f t="shared" si="0"/>
        <v>7</v>
      </c>
      <c r="U54" s="73" t="s">
        <v>240</v>
      </c>
      <c r="W54" s="76" t="s">
        <v>271</v>
      </c>
    </row>
    <row r="55" spans="2:23" ht="40.5" customHeight="1">
      <c r="B55" s="79" t="s">
        <v>236</v>
      </c>
      <c r="C55" s="80"/>
      <c r="D55" s="86" t="s">
        <v>263</v>
      </c>
      <c r="E55" s="82"/>
      <c r="F55" s="80"/>
      <c r="G55" s="83"/>
      <c r="H55" s="80"/>
      <c r="I55" s="13">
        <v>1</v>
      </c>
      <c r="J55" s="13"/>
      <c r="K55" s="13">
        <v>2</v>
      </c>
      <c r="L55" s="13"/>
      <c r="M55" s="13"/>
      <c r="N55" s="13"/>
      <c r="O55" s="13"/>
      <c r="P55" s="13"/>
      <c r="Q55" s="12">
        <v>1</v>
      </c>
      <c r="R55" s="12">
        <v>3</v>
      </c>
      <c r="S55" s="12">
        <f t="shared" si="0"/>
        <v>7</v>
      </c>
      <c r="U55" s="75" t="s">
        <v>273</v>
      </c>
    </row>
    <row r="56" spans="2:23" ht="42" customHeight="1">
      <c r="B56" s="79" t="s">
        <v>237</v>
      </c>
      <c r="C56" s="80"/>
      <c r="D56" s="81" t="s">
        <v>191</v>
      </c>
      <c r="E56" s="82"/>
      <c r="F56" s="80"/>
      <c r="G56" s="83"/>
      <c r="H56" s="80"/>
      <c r="I56" s="13"/>
      <c r="J56" s="13"/>
      <c r="K56" s="13">
        <v>3</v>
      </c>
      <c r="L56" s="13"/>
      <c r="M56" s="13"/>
      <c r="N56" s="13"/>
      <c r="O56" s="13"/>
      <c r="P56" s="13"/>
      <c r="Q56" s="12">
        <v>2</v>
      </c>
      <c r="R56" s="12">
        <v>2</v>
      </c>
      <c r="S56" s="12">
        <f t="shared" si="0"/>
        <v>7</v>
      </c>
      <c r="U56" s="73" t="s">
        <v>240</v>
      </c>
      <c r="W56" s="76" t="s">
        <v>271</v>
      </c>
    </row>
    <row r="57" spans="2:23" ht="39" customHeight="1">
      <c r="B57" s="79" t="s">
        <v>238</v>
      </c>
      <c r="C57" s="80"/>
      <c r="D57" s="81" t="s">
        <v>189</v>
      </c>
      <c r="E57" s="82"/>
      <c r="F57" s="80"/>
      <c r="G57" s="83"/>
      <c r="H57" s="80"/>
      <c r="I57" s="13"/>
      <c r="J57" s="13"/>
      <c r="K57" s="13"/>
      <c r="L57" s="13"/>
      <c r="M57" s="13"/>
      <c r="N57" s="13"/>
      <c r="O57" s="13">
        <v>3</v>
      </c>
      <c r="P57" s="15"/>
      <c r="Q57" s="12">
        <v>1</v>
      </c>
      <c r="R57" s="12">
        <v>2</v>
      </c>
      <c r="S57" s="12">
        <f t="shared" si="0"/>
        <v>6</v>
      </c>
      <c r="U57" s="75" t="s">
        <v>274</v>
      </c>
    </row>
    <row r="58" spans="2:23" ht="39" customHeight="1">
      <c r="B58" s="79" t="s">
        <v>244</v>
      </c>
      <c r="C58" s="80"/>
      <c r="D58" s="81" t="s">
        <v>245</v>
      </c>
      <c r="E58" s="82"/>
      <c r="F58" s="80"/>
      <c r="G58" s="83"/>
      <c r="H58" s="80"/>
      <c r="I58" s="13"/>
      <c r="J58" s="13"/>
      <c r="K58" s="13"/>
      <c r="L58" s="13"/>
      <c r="M58" s="13"/>
      <c r="N58" s="13"/>
      <c r="O58" s="13"/>
      <c r="P58" s="15"/>
      <c r="Q58" s="12"/>
      <c r="R58" s="12"/>
      <c r="S58" s="12"/>
      <c r="U58" s="73"/>
    </row>
    <row r="59" spans="2:23" ht="15.75" customHeight="1">
      <c r="B59" s="5"/>
      <c r="C59" s="5"/>
      <c r="D59" s="5"/>
      <c r="E59" s="5"/>
      <c r="F59" s="5"/>
      <c r="G59" s="5"/>
      <c r="H59" s="5"/>
      <c r="I59" s="5"/>
      <c r="J59" s="5"/>
      <c r="K59" s="5"/>
      <c r="L59" s="5"/>
      <c r="M59" s="5"/>
      <c r="N59" s="5"/>
      <c r="O59" s="5"/>
      <c r="P59" s="5"/>
      <c r="Q59" s="91" t="s">
        <v>67</v>
      </c>
      <c r="R59" s="80"/>
      <c r="S59" s="16">
        <f>SUM(S43:S57)</f>
        <v>94</v>
      </c>
    </row>
    <row r="60" spans="2:23" ht="15.75" customHeight="1">
      <c r="B60" s="5"/>
      <c r="C60" s="5"/>
      <c r="D60" s="5"/>
      <c r="E60" s="5"/>
      <c r="F60" s="5"/>
      <c r="G60" s="5"/>
      <c r="H60" s="5"/>
      <c r="I60" s="5"/>
      <c r="J60" s="5"/>
      <c r="K60" s="5"/>
      <c r="L60" s="5"/>
      <c r="M60" s="5"/>
      <c r="N60" s="5"/>
      <c r="O60" s="5"/>
      <c r="P60" s="5"/>
      <c r="Q60" s="17"/>
      <c r="R60" s="17"/>
      <c r="S60" s="18"/>
    </row>
    <row r="61" spans="2:23" ht="64.5" customHeight="1">
      <c r="B61" s="105" t="s">
        <v>68</v>
      </c>
      <c r="C61" s="93"/>
      <c r="D61" s="93"/>
      <c r="E61" s="93"/>
      <c r="F61" s="93"/>
      <c r="G61" s="93"/>
      <c r="H61" s="94"/>
      <c r="I61" s="105" t="s">
        <v>69</v>
      </c>
      <c r="J61" s="94"/>
      <c r="K61" s="109" t="s">
        <v>42</v>
      </c>
      <c r="L61" s="82"/>
      <c r="M61" s="82"/>
      <c r="N61" s="82"/>
      <c r="O61" s="82"/>
      <c r="P61" s="80"/>
      <c r="Q61" s="110" t="s">
        <v>70</v>
      </c>
      <c r="R61" s="80"/>
      <c r="S61" s="162" t="s">
        <v>71</v>
      </c>
    </row>
    <row r="62" spans="2:23" ht="36" customHeight="1">
      <c r="B62" s="106"/>
      <c r="C62" s="107"/>
      <c r="D62" s="107"/>
      <c r="E62" s="107"/>
      <c r="F62" s="107"/>
      <c r="G62" s="107"/>
      <c r="H62" s="108"/>
      <c r="I62" s="106"/>
      <c r="J62" s="108"/>
      <c r="K62" s="111" t="s">
        <v>44</v>
      </c>
      <c r="L62" s="93"/>
      <c r="M62" s="160"/>
      <c r="N62" s="92" t="s">
        <v>72</v>
      </c>
      <c r="O62" s="93"/>
      <c r="P62" s="94"/>
      <c r="Q62" s="101" t="s">
        <v>46</v>
      </c>
      <c r="R62" s="103" t="s">
        <v>47</v>
      </c>
      <c r="S62" s="163"/>
    </row>
    <row r="63" spans="2:23" ht="35.25" customHeight="1" thickBot="1">
      <c r="B63" s="95"/>
      <c r="C63" s="96"/>
      <c r="D63" s="96"/>
      <c r="E63" s="96"/>
      <c r="F63" s="96"/>
      <c r="G63" s="96"/>
      <c r="H63" s="97"/>
      <c r="I63" s="95"/>
      <c r="J63" s="97"/>
      <c r="K63" s="95"/>
      <c r="L63" s="96"/>
      <c r="M63" s="161"/>
      <c r="N63" s="95"/>
      <c r="O63" s="96"/>
      <c r="P63" s="97"/>
      <c r="Q63" s="102"/>
      <c r="R63" s="104"/>
      <c r="S63" s="102"/>
    </row>
    <row r="64" spans="2:23" ht="18.75" customHeight="1">
      <c r="B64" s="19">
        <v>1</v>
      </c>
      <c r="C64" s="100" t="s">
        <v>241</v>
      </c>
      <c r="D64" s="82"/>
      <c r="E64" s="82"/>
      <c r="F64" s="82"/>
      <c r="G64" s="82"/>
      <c r="H64" s="80"/>
      <c r="I64" s="83">
        <v>15</v>
      </c>
      <c r="J64" s="80"/>
      <c r="K64" s="83">
        <v>2</v>
      </c>
      <c r="L64" s="82"/>
      <c r="M64" s="80"/>
      <c r="N64" s="83"/>
      <c r="O64" s="82"/>
      <c r="P64" s="80"/>
      <c r="Q64" s="20">
        <v>2</v>
      </c>
      <c r="R64" s="20">
        <v>3</v>
      </c>
      <c r="S64" s="21">
        <f t="shared" ref="S64:S68" si="1">SUM(K64:R64)</f>
        <v>7</v>
      </c>
      <c r="U64" s="77"/>
      <c r="V64" s="78"/>
    </row>
    <row r="65" spans="2:24" ht="18.75" customHeight="1">
      <c r="B65" s="19">
        <v>2</v>
      </c>
      <c r="C65" s="85" t="s">
        <v>201</v>
      </c>
      <c r="D65" s="82"/>
      <c r="E65" s="82"/>
      <c r="F65" s="82"/>
      <c r="G65" s="82"/>
      <c r="H65" s="80"/>
      <c r="I65" s="83">
        <v>25</v>
      </c>
      <c r="J65" s="80"/>
      <c r="K65" s="83">
        <v>3</v>
      </c>
      <c r="L65" s="82"/>
      <c r="M65" s="80"/>
      <c r="N65" s="83"/>
      <c r="O65" s="82"/>
      <c r="P65" s="80"/>
      <c r="Q65" s="20">
        <v>5</v>
      </c>
      <c r="R65" s="20">
        <v>6</v>
      </c>
      <c r="S65" s="21">
        <f t="shared" si="1"/>
        <v>14</v>
      </c>
      <c r="U65" s="77" t="s">
        <v>260</v>
      </c>
      <c r="V65" s="78"/>
      <c r="W65">
        <v>4</v>
      </c>
    </row>
    <row r="66" spans="2:24" ht="18.75" customHeight="1">
      <c r="B66" s="22">
        <v>3</v>
      </c>
      <c r="C66" s="85" t="s">
        <v>200</v>
      </c>
      <c r="D66" s="82"/>
      <c r="E66" s="82"/>
      <c r="F66" s="82"/>
      <c r="G66" s="82"/>
      <c r="H66" s="80"/>
      <c r="I66" s="83">
        <v>10</v>
      </c>
      <c r="J66" s="80"/>
      <c r="K66" s="83">
        <v>1</v>
      </c>
      <c r="L66" s="82"/>
      <c r="M66" s="80"/>
      <c r="N66" s="83"/>
      <c r="O66" s="82"/>
      <c r="P66" s="80"/>
      <c r="Q66" s="20">
        <v>4</v>
      </c>
      <c r="R66" s="20">
        <v>2</v>
      </c>
      <c r="S66" s="21">
        <f t="shared" si="1"/>
        <v>7</v>
      </c>
      <c r="U66" s="77" t="s">
        <v>261</v>
      </c>
      <c r="V66" s="78"/>
      <c r="W66">
        <v>4</v>
      </c>
    </row>
    <row r="67" spans="2:24" ht="18.75" customHeight="1">
      <c r="B67" s="22">
        <v>4</v>
      </c>
      <c r="C67" s="85" t="s">
        <v>243</v>
      </c>
      <c r="D67" s="82"/>
      <c r="E67" s="82"/>
      <c r="F67" s="82"/>
      <c r="G67" s="82"/>
      <c r="H67" s="80"/>
      <c r="I67" s="83">
        <v>5</v>
      </c>
      <c r="J67" s="80"/>
      <c r="K67" s="83">
        <v>1</v>
      </c>
      <c r="L67" s="82"/>
      <c r="M67" s="80"/>
      <c r="N67" s="83"/>
      <c r="O67" s="82"/>
      <c r="P67" s="80"/>
      <c r="Q67" s="20">
        <v>1</v>
      </c>
      <c r="R67" s="20">
        <v>1</v>
      </c>
      <c r="S67" s="21">
        <f t="shared" ref="S67" si="2">SUM(K67:R67)</f>
        <v>3</v>
      </c>
      <c r="U67" s="77" t="s">
        <v>258</v>
      </c>
      <c r="V67" s="78"/>
      <c r="W67">
        <v>6</v>
      </c>
    </row>
    <row r="68" spans="2:24" ht="18.75" customHeight="1">
      <c r="B68" s="22">
        <v>5</v>
      </c>
      <c r="C68" s="84" t="s">
        <v>254</v>
      </c>
      <c r="D68" s="82"/>
      <c r="E68" s="82"/>
      <c r="F68" s="82"/>
      <c r="G68" s="82"/>
      <c r="H68" s="80"/>
      <c r="I68" s="83">
        <v>25</v>
      </c>
      <c r="J68" s="80"/>
      <c r="K68" s="83">
        <v>1</v>
      </c>
      <c r="L68" s="82"/>
      <c r="M68" s="80"/>
      <c r="N68" s="83"/>
      <c r="O68" s="82"/>
      <c r="P68" s="80"/>
      <c r="Q68" s="20">
        <v>8</v>
      </c>
      <c r="R68" s="20">
        <v>3</v>
      </c>
      <c r="S68" s="21">
        <f t="shared" si="1"/>
        <v>12</v>
      </c>
      <c r="U68" s="77" t="s">
        <v>259</v>
      </c>
      <c r="V68" s="78"/>
      <c r="W68">
        <v>6</v>
      </c>
    </row>
    <row r="69" spans="2:24" ht="18.75" customHeight="1">
      <c r="B69" s="19">
        <v>6</v>
      </c>
      <c r="C69" s="100" t="s">
        <v>253</v>
      </c>
      <c r="D69" s="82"/>
      <c r="E69" s="82"/>
      <c r="F69" s="82"/>
      <c r="G69" s="82"/>
      <c r="H69" s="80"/>
      <c r="I69" s="83">
        <v>20</v>
      </c>
      <c r="J69" s="80"/>
      <c r="K69" s="83">
        <v>1</v>
      </c>
      <c r="L69" s="82"/>
      <c r="M69" s="80"/>
      <c r="N69" s="14"/>
      <c r="O69" s="25"/>
      <c r="P69" s="26"/>
      <c r="Q69" s="27">
        <v>5</v>
      </c>
      <c r="R69" s="20">
        <v>7</v>
      </c>
      <c r="S69" s="28">
        <f>SUM(K69:R69)</f>
        <v>13</v>
      </c>
      <c r="V69" t="s">
        <v>265</v>
      </c>
      <c r="W69">
        <v>3</v>
      </c>
      <c r="X69" t="s">
        <v>267</v>
      </c>
    </row>
    <row r="70" spans="2:24" ht="18.75" customHeight="1">
      <c r="Q70" s="176" t="s">
        <v>73</v>
      </c>
      <c r="R70" s="80"/>
      <c r="S70" s="23">
        <f>SUM(S64:S69)</f>
        <v>56</v>
      </c>
      <c r="U70" s="72"/>
      <c r="V70" s="72" t="s">
        <v>266</v>
      </c>
      <c r="W70">
        <v>2</v>
      </c>
      <c r="X70" t="s">
        <v>268</v>
      </c>
    </row>
    <row r="71" spans="2:24" ht="18.75" customHeight="1">
      <c r="Q71" s="24"/>
      <c r="R71" s="24"/>
      <c r="U71" s="72"/>
      <c r="V71" s="72"/>
      <c r="W71">
        <f>SUM(W65:W70)</f>
        <v>25</v>
      </c>
    </row>
    <row r="72" spans="2:24" ht="18.75" customHeight="1">
      <c r="Q72" s="24"/>
      <c r="R72" s="24"/>
    </row>
    <row r="73" spans="2:24" ht="33.75" customHeight="1">
      <c r="B73" s="105" t="s">
        <v>74</v>
      </c>
      <c r="C73" s="93"/>
      <c r="D73" s="93"/>
      <c r="E73" s="93"/>
      <c r="F73" s="93"/>
      <c r="G73" s="93"/>
      <c r="H73" s="94"/>
      <c r="I73" s="105" t="s">
        <v>69</v>
      </c>
      <c r="J73" s="94"/>
      <c r="K73" s="109" t="s">
        <v>42</v>
      </c>
      <c r="L73" s="82"/>
      <c r="M73" s="82"/>
      <c r="N73" s="82"/>
      <c r="O73" s="82"/>
      <c r="P73" s="80"/>
      <c r="Q73" s="177" t="s">
        <v>75</v>
      </c>
      <c r="R73" s="80"/>
      <c r="S73" s="178" t="s">
        <v>71</v>
      </c>
    </row>
    <row r="74" spans="2:24" ht="18.75" customHeight="1">
      <c r="B74" s="106"/>
      <c r="C74" s="107"/>
      <c r="D74" s="107"/>
      <c r="E74" s="107"/>
      <c r="F74" s="107"/>
      <c r="G74" s="107"/>
      <c r="H74" s="108"/>
      <c r="I74" s="106"/>
      <c r="J74" s="108"/>
      <c r="K74" s="111" t="s">
        <v>44</v>
      </c>
      <c r="L74" s="93"/>
      <c r="M74" s="94"/>
      <c r="N74" s="92" t="s">
        <v>72</v>
      </c>
      <c r="O74" s="93"/>
      <c r="P74" s="94"/>
      <c r="Q74" s="98" t="s">
        <v>46</v>
      </c>
      <c r="R74" s="181" t="s">
        <v>47</v>
      </c>
      <c r="S74" s="179"/>
    </row>
    <row r="75" spans="2:24" ht="48" customHeight="1" thickBot="1">
      <c r="B75" s="95"/>
      <c r="C75" s="96"/>
      <c r="D75" s="96"/>
      <c r="E75" s="96"/>
      <c r="F75" s="96"/>
      <c r="G75" s="96"/>
      <c r="H75" s="97"/>
      <c r="I75" s="95"/>
      <c r="J75" s="97"/>
      <c r="K75" s="95"/>
      <c r="L75" s="96"/>
      <c r="M75" s="97"/>
      <c r="N75" s="95"/>
      <c r="O75" s="96"/>
      <c r="P75" s="97"/>
      <c r="Q75" s="99"/>
      <c r="R75" s="104"/>
      <c r="S75" s="180"/>
    </row>
    <row r="76" spans="2:24" ht="18.75" customHeight="1"/>
    <row r="77" spans="2:24" ht="18.75" customHeight="1">
      <c r="Q77" s="174" t="s">
        <v>73</v>
      </c>
      <c r="R77" s="107"/>
      <c r="S77" s="29">
        <f>SUM(S76)</f>
        <v>0</v>
      </c>
    </row>
    <row r="78" spans="2:24" ht="18.75" customHeight="1">
      <c r="Q78" s="175" t="s">
        <v>76</v>
      </c>
      <c r="R78" s="107"/>
      <c r="S78" s="29">
        <f>SUM(S69)+SUM(S64:S68)</f>
        <v>56</v>
      </c>
    </row>
    <row r="79" spans="2:24" ht="18.75" customHeight="1">
      <c r="Q79" s="24" t="s">
        <v>77</v>
      </c>
      <c r="R79" s="24"/>
      <c r="S79" s="29">
        <f>S59+S78</f>
        <v>150</v>
      </c>
    </row>
    <row r="80" spans="2:24" ht="54.75" customHeight="1">
      <c r="B80" s="16" t="s">
        <v>26</v>
      </c>
      <c r="C80" s="189" t="s">
        <v>78</v>
      </c>
      <c r="D80" s="82"/>
      <c r="E80" s="82"/>
      <c r="F80" s="82"/>
      <c r="G80" s="82"/>
      <c r="H80" s="82"/>
      <c r="I80" s="82"/>
      <c r="J80" s="82"/>
      <c r="K80" s="82"/>
      <c r="L80" s="82"/>
      <c r="M80" s="82"/>
      <c r="N80" s="82"/>
      <c r="O80" s="82"/>
      <c r="P80" s="80"/>
      <c r="Q80" s="194">
        <f>(SUM(I43:L57)+SUM(K64:M68)+SUM(K69:M69))/(SUM(I43:R57)+SUM(K64:R68)+SUM(K69:R69))*100</f>
        <v>26</v>
      </c>
      <c r="R80" s="82"/>
      <c r="S80" s="80"/>
    </row>
    <row r="81" spans="1:19" ht="64.5" customHeight="1">
      <c r="B81" s="16" t="s">
        <v>79</v>
      </c>
      <c r="C81" s="189" t="s">
        <v>80</v>
      </c>
      <c r="D81" s="82"/>
      <c r="E81" s="82"/>
      <c r="F81" s="82"/>
      <c r="G81" s="82"/>
      <c r="H81" s="82"/>
      <c r="I81" s="82"/>
      <c r="J81" s="82"/>
      <c r="K81" s="82"/>
      <c r="L81" s="82"/>
      <c r="M81" s="82"/>
      <c r="N81" s="82"/>
      <c r="O81" s="82"/>
      <c r="P81" s="80"/>
      <c r="Q81" s="194">
        <f>(SUM(M43:P57)+SUM(N64:P68)+SUM(N69:P69)+SUM(Q43:R57)+SUM(Q64:R68)+SUM(Q69:R69))/(SUM(I43:R57)+SUM(K64:R68)+SUM(K69:R69))*100</f>
        <v>74</v>
      </c>
      <c r="R81" s="82"/>
      <c r="S81" s="80"/>
    </row>
    <row r="82" spans="1:19" ht="64.5" customHeight="1">
      <c r="B82" s="16" t="s">
        <v>81</v>
      </c>
      <c r="C82" s="189" t="s">
        <v>82</v>
      </c>
      <c r="D82" s="82"/>
      <c r="E82" s="82"/>
      <c r="F82" s="82"/>
      <c r="G82" s="82"/>
      <c r="H82" s="82"/>
      <c r="I82" s="82"/>
      <c r="J82" s="82"/>
      <c r="K82" s="82"/>
      <c r="L82" s="82"/>
      <c r="M82" s="82"/>
      <c r="N82" s="82"/>
      <c r="O82" s="82"/>
      <c r="P82" s="80"/>
      <c r="Q82" s="194">
        <f>(SUM(M43:P57)+SUM(Q43:Q57)+SUM(N64:P68))/S79*100</f>
        <v>16</v>
      </c>
      <c r="R82" s="82"/>
      <c r="S82" s="80"/>
    </row>
    <row r="83" spans="1:19" ht="57" customHeight="1">
      <c r="B83" s="16" t="s">
        <v>83</v>
      </c>
      <c r="C83" s="189" t="s">
        <v>84</v>
      </c>
      <c r="D83" s="82"/>
      <c r="E83" s="82"/>
      <c r="F83" s="82"/>
      <c r="G83" s="82"/>
      <c r="H83" s="82"/>
      <c r="I83" s="82"/>
      <c r="J83" s="82"/>
      <c r="K83" s="82"/>
      <c r="L83" s="82"/>
      <c r="M83" s="82"/>
      <c r="N83" s="82"/>
      <c r="O83" s="82"/>
      <c r="P83" s="80"/>
      <c r="Q83" s="190">
        <f>Q84+Q85</f>
        <v>20</v>
      </c>
      <c r="R83" s="82"/>
      <c r="S83" s="80"/>
    </row>
    <row r="84" spans="1:19" ht="46.5" customHeight="1">
      <c r="B84" s="16" t="s">
        <v>85</v>
      </c>
      <c r="C84" s="189" t="s">
        <v>86</v>
      </c>
      <c r="D84" s="82"/>
      <c r="E84" s="82"/>
      <c r="F84" s="82"/>
      <c r="G84" s="82"/>
      <c r="H84" s="82"/>
      <c r="I84" s="82"/>
      <c r="J84" s="82"/>
      <c r="K84" s="82"/>
      <c r="L84" s="82"/>
      <c r="M84" s="82"/>
      <c r="N84" s="82"/>
      <c r="O84" s="82"/>
      <c r="P84" s="80"/>
      <c r="Q84" s="190">
        <f>(SUM(K43:K57))/(SUM(I43:R57)+SUM(K64:R68)+SUM(K69:R69))*100</f>
        <v>15.333333333333332</v>
      </c>
      <c r="R84" s="82"/>
      <c r="S84" s="80"/>
    </row>
    <row r="85" spans="1:19" ht="54" customHeight="1">
      <c r="B85" s="16" t="s">
        <v>87</v>
      </c>
      <c r="C85" s="189" t="s">
        <v>88</v>
      </c>
      <c r="D85" s="82"/>
      <c r="E85" s="82"/>
      <c r="F85" s="82"/>
      <c r="G85" s="82"/>
      <c r="H85" s="82"/>
      <c r="I85" s="82"/>
      <c r="J85" s="82"/>
      <c r="K85" s="82"/>
      <c r="L85" s="82"/>
      <c r="M85" s="82"/>
      <c r="N85" s="82"/>
      <c r="O85" s="82"/>
      <c r="P85" s="80"/>
      <c r="Q85" s="190">
        <f>(SUM(O43:O57))/(SUM(I43:R57)+SUM(K64:R68)+SUM(K69:R69))*100</f>
        <v>4.666666666666667</v>
      </c>
      <c r="R85" s="82"/>
      <c r="S85" s="80"/>
    </row>
    <row r="86" spans="1:19" ht="14.25" customHeight="1">
      <c r="B86" s="191" t="s">
        <v>89</v>
      </c>
      <c r="C86" s="93"/>
      <c r="D86" s="93"/>
      <c r="E86" s="93"/>
      <c r="F86" s="93"/>
      <c r="G86" s="93"/>
      <c r="H86" s="93"/>
      <c r="I86" s="93"/>
      <c r="J86" s="93"/>
      <c r="K86" s="93"/>
      <c r="L86" s="93"/>
      <c r="M86" s="93"/>
      <c r="N86" s="93"/>
      <c r="O86" s="93"/>
      <c r="P86" s="94"/>
      <c r="Q86" s="192"/>
      <c r="R86" s="93"/>
      <c r="S86" s="94"/>
    </row>
    <row r="87" spans="1:19" ht="109.5" customHeight="1">
      <c r="B87" s="95"/>
      <c r="C87" s="96"/>
      <c r="D87" s="96"/>
      <c r="E87" s="96"/>
      <c r="F87" s="96"/>
      <c r="G87" s="96"/>
      <c r="H87" s="96"/>
      <c r="I87" s="96"/>
      <c r="J87" s="96"/>
      <c r="K87" s="96"/>
      <c r="L87" s="96"/>
      <c r="M87" s="96"/>
      <c r="N87" s="96"/>
      <c r="O87" s="96"/>
      <c r="P87" s="97"/>
      <c r="Q87" s="95"/>
      <c r="R87" s="96"/>
      <c r="S87" s="97"/>
    </row>
    <row r="88" spans="1:19" ht="15.75" customHeight="1">
      <c r="B88" s="30"/>
      <c r="C88" s="30"/>
      <c r="D88" s="30"/>
      <c r="E88" s="30"/>
      <c r="F88" s="30"/>
      <c r="G88" s="30"/>
      <c r="H88" s="30"/>
      <c r="I88" s="30"/>
      <c r="J88" s="30"/>
      <c r="K88" s="30"/>
      <c r="L88" s="30"/>
      <c r="M88" s="30"/>
      <c r="N88" s="30"/>
      <c r="O88" s="30"/>
      <c r="P88" s="30"/>
      <c r="Q88" s="30"/>
      <c r="R88" s="30"/>
      <c r="S88" s="30"/>
    </row>
    <row r="89" spans="1:19" ht="30.75" customHeight="1">
      <c r="B89" s="184" t="s">
        <v>90</v>
      </c>
      <c r="C89" s="82"/>
      <c r="D89" s="82"/>
      <c r="E89" s="82"/>
      <c r="F89" s="82"/>
      <c r="G89" s="82"/>
      <c r="H89" s="82"/>
      <c r="I89" s="82"/>
      <c r="J89" s="82"/>
      <c r="K89" s="82"/>
      <c r="L89" s="82"/>
      <c r="M89" s="82"/>
      <c r="N89" s="82"/>
      <c r="O89" s="82"/>
      <c r="P89" s="82"/>
      <c r="Q89" s="82"/>
      <c r="R89" s="82"/>
      <c r="S89" s="80"/>
    </row>
    <row r="90" spans="1:19" ht="20.25" customHeight="1">
      <c r="A90" s="5"/>
      <c r="B90" s="157" t="s">
        <v>214</v>
      </c>
      <c r="C90" s="82"/>
      <c r="D90" s="82"/>
      <c r="E90" s="82"/>
      <c r="F90" s="82"/>
      <c r="G90" s="82"/>
      <c r="H90" s="82"/>
      <c r="I90" s="82"/>
      <c r="J90" s="82"/>
      <c r="K90" s="82"/>
      <c r="L90" s="82"/>
      <c r="M90" s="82"/>
      <c r="N90" s="82"/>
      <c r="O90" s="82"/>
      <c r="P90" s="82"/>
      <c r="Q90" s="82"/>
      <c r="R90" s="82"/>
      <c r="S90" s="80"/>
    </row>
    <row r="91" spans="1:19" ht="20.25" customHeight="1">
      <c r="A91" s="5"/>
      <c r="B91" s="31"/>
      <c r="C91" s="31"/>
      <c r="D91" s="31"/>
      <c r="E91" s="31"/>
      <c r="F91" s="31"/>
      <c r="G91" s="31"/>
      <c r="H91" s="31"/>
      <c r="I91" s="31"/>
      <c r="J91" s="31"/>
      <c r="K91" s="31"/>
      <c r="L91" s="31"/>
      <c r="M91" s="31"/>
      <c r="N91" s="31"/>
      <c r="O91" s="31"/>
      <c r="P91" s="31"/>
      <c r="Q91" s="31"/>
      <c r="R91" s="31"/>
      <c r="S91" s="31"/>
    </row>
    <row r="92" spans="1:19" ht="18" customHeight="1">
      <c r="A92" s="5"/>
      <c r="B92" s="185"/>
      <c r="C92" s="107"/>
      <c r="D92" s="107"/>
      <c r="E92" s="107"/>
      <c r="F92" s="107"/>
      <c r="G92" s="107"/>
      <c r="H92" s="107"/>
      <c r="I92" s="107"/>
      <c r="J92" s="107"/>
      <c r="K92" s="107"/>
      <c r="L92" s="107"/>
      <c r="M92" s="107"/>
      <c r="N92" s="107"/>
      <c r="O92" s="107"/>
      <c r="P92" s="107"/>
      <c r="Q92" s="107"/>
      <c r="R92" s="107"/>
      <c r="S92" s="107"/>
    </row>
    <row r="93" spans="1:19" ht="19.5" customHeight="1">
      <c r="B93" s="184" t="s">
        <v>91</v>
      </c>
      <c r="C93" s="82"/>
      <c r="D93" s="82"/>
      <c r="E93" s="82"/>
      <c r="F93" s="82"/>
      <c r="G93" s="82"/>
      <c r="H93" s="82"/>
      <c r="I93" s="82"/>
      <c r="J93" s="82"/>
      <c r="K93" s="82"/>
      <c r="L93" s="82"/>
      <c r="M93" s="82"/>
      <c r="N93" s="82"/>
      <c r="O93" s="82"/>
      <c r="P93" s="82"/>
      <c r="Q93" s="82"/>
      <c r="R93" s="82"/>
      <c r="S93" s="80"/>
    </row>
    <row r="94" spans="1:19" ht="209.4" customHeight="1">
      <c r="B94" s="157" t="s">
        <v>203</v>
      </c>
      <c r="C94" s="82"/>
      <c r="D94" s="82"/>
      <c r="E94" s="82"/>
      <c r="F94" s="82"/>
      <c r="G94" s="82"/>
      <c r="H94" s="82"/>
      <c r="I94" s="82"/>
      <c r="J94" s="82"/>
      <c r="K94" s="82"/>
      <c r="L94" s="82"/>
      <c r="M94" s="82"/>
      <c r="N94" s="82"/>
      <c r="O94" s="82"/>
      <c r="P94" s="82"/>
      <c r="Q94" s="82"/>
      <c r="R94" s="82"/>
      <c r="S94" s="80"/>
    </row>
    <row r="95" spans="1:19" ht="17.25" customHeight="1">
      <c r="B95" s="32"/>
      <c r="C95" s="32"/>
      <c r="D95" s="32"/>
      <c r="E95" s="32"/>
      <c r="F95" s="32"/>
      <c r="G95" s="32"/>
      <c r="H95" s="32"/>
      <c r="I95" s="32"/>
      <c r="J95" s="32"/>
      <c r="K95" s="32"/>
      <c r="L95" s="32"/>
      <c r="M95" s="32"/>
      <c r="N95" s="32"/>
      <c r="O95" s="32"/>
      <c r="P95" s="33"/>
      <c r="Q95" s="33"/>
      <c r="R95" s="33"/>
      <c r="S95" s="33"/>
    </row>
    <row r="96" spans="1:19" ht="21" customHeight="1">
      <c r="B96" s="186" t="s">
        <v>92</v>
      </c>
      <c r="C96" s="82"/>
      <c r="D96" s="82"/>
      <c r="E96" s="82"/>
      <c r="F96" s="82"/>
      <c r="G96" s="82"/>
      <c r="H96" s="82"/>
      <c r="I96" s="82"/>
      <c r="J96" s="82"/>
      <c r="K96" s="82"/>
      <c r="L96" s="82"/>
      <c r="M96" s="82"/>
      <c r="N96" s="82"/>
      <c r="O96" s="82"/>
      <c r="P96" s="82"/>
      <c r="Q96" s="82"/>
      <c r="R96" s="82"/>
      <c r="S96" s="80"/>
    </row>
    <row r="97" spans="1:19" ht="21.75" customHeight="1">
      <c r="B97" s="187" t="s">
        <v>93</v>
      </c>
      <c r="C97" s="82"/>
      <c r="D97" s="82"/>
      <c r="E97" s="82"/>
      <c r="F97" s="82"/>
      <c r="G97" s="82"/>
      <c r="H97" s="82"/>
      <c r="I97" s="82"/>
      <c r="J97" s="82"/>
      <c r="K97" s="82"/>
      <c r="L97" s="82"/>
      <c r="M97" s="82"/>
      <c r="N97" s="82"/>
      <c r="O97" s="82"/>
      <c r="P97" s="82"/>
      <c r="Q97" s="82"/>
      <c r="R97" s="82"/>
      <c r="S97" s="80"/>
    </row>
    <row r="98" spans="1:19" ht="108" customHeight="1">
      <c r="B98" s="183" t="s">
        <v>94</v>
      </c>
      <c r="C98" s="82"/>
      <c r="D98" s="82"/>
      <c r="E98" s="82"/>
      <c r="F98" s="82"/>
      <c r="G98" s="82"/>
      <c r="H98" s="82"/>
      <c r="I98" s="82"/>
      <c r="J98" s="82"/>
      <c r="K98" s="82"/>
      <c r="L98" s="82"/>
      <c r="M98" s="82"/>
      <c r="N98" s="82"/>
      <c r="O98" s="82"/>
      <c r="P98" s="82"/>
      <c r="Q98" s="82"/>
      <c r="R98" s="82"/>
      <c r="S98" s="80"/>
    </row>
    <row r="99" spans="1:19" ht="30" customHeight="1">
      <c r="B99" s="193" t="s">
        <v>92</v>
      </c>
      <c r="C99" s="93"/>
      <c r="D99" s="93"/>
      <c r="E99" s="93"/>
      <c r="F99" s="93"/>
      <c r="G99" s="93"/>
      <c r="H99" s="93"/>
      <c r="I99" s="93"/>
      <c r="J99" s="93"/>
      <c r="K99" s="93"/>
      <c r="L99" s="93"/>
      <c r="M99" s="93"/>
      <c r="N99" s="93"/>
      <c r="O99" s="93"/>
      <c r="P99" s="93"/>
      <c r="Q99" s="93"/>
      <c r="R99" s="93"/>
      <c r="S99" s="93"/>
    </row>
    <row r="100" spans="1:19" ht="24" customHeight="1">
      <c r="B100" s="191" t="s">
        <v>95</v>
      </c>
      <c r="C100" s="93"/>
      <c r="D100" s="93"/>
      <c r="E100" s="93"/>
      <c r="F100" s="93"/>
      <c r="G100" s="93"/>
      <c r="H100" s="93"/>
      <c r="I100" s="93"/>
      <c r="J100" s="93"/>
      <c r="K100" s="93"/>
      <c r="L100" s="93"/>
      <c r="M100" s="93"/>
      <c r="N100" s="93"/>
      <c r="O100" s="93"/>
      <c r="P100" s="93"/>
      <c r="Q100" s="93"/>
      <c r="R100" s="93"/>
      <c r="S100" s="94"/>
    </row>
    <row r="101" spans="1:19" ht="133.80000000000001" customHeight="1">
      <c r="A101" s="72"/>
      <c r="B101" s="135"/>
      <c r="C101" s="78"/>
      <c r="D101" s="78"/>
      <c r="E101" s="78"/>
      <c r="F101" s="78"/>
      <c r="G101" s="78"/>
      <c r="H101" s="78"/>
      <c r="I101" s="78"/>
      <c r="J101" s="78"/>
      <c r="K101" s="78"/>
      <c r="L101" s="78"/>
      <c r="M101" s="78"/>
      <c r="N101" s="78"/>
      <c r="O101" s="78"/>
      <c r="P101" s="78"/>
      <c r="Q101" s="78"/>
      <c r="R101" s="78"/>
      <c r="S101" s="97"/>
    </row>
    <row r="102" spans="1:19" ht="24.6" customHeight="1">
      <c r="A102" s="188" t="s">
        <v>215</v>
      </c>
      <c r="B102" s="188"/>
      <c r="C102" s="188"/>
      <c r="D102" s="188"/>
      <c r="E102" s="188"/>
      <c r="F102" s="188"/>
      <c r="G102" s="188"/>
      <c r="H102" s="188"/>
      <c r="I102" s="188"/>
      <c r="J102" s="188"/>
      <c r="K102" s="188"/>
      <c r="L102" s="188"/>
      <c r="M102" s="188"/>
      <c r="N102" s="188"/>
      <c r="O102" s="188"/>
      <c r="P102" s="188"/>
      <c r="Q102" s="188"/>
      <c r="R102" s="188"/>
      <c r="S102" s="64"/>
    </row>
    <row r="103" spans="1:19" ht="172.8" customHeight="1">
      <c r="A103" s="123" t="s">
        <v>216</v>
      </c>
      <c r="B103" s="123"/>
      <c r="C103" s="123"/>
      <c r="D103" s="123"/>
      <c r="E103" s="123"/>
      <c r="F103" s="123"/>
      <c r="G103" s="123"/>
      <c r="H103" s="123"/>
      <c r="I103" s="123"/>
      <c r="J103" s="123"/>
      <c r="K103" s="123"/>
      <c r="L103" s="123"/>
      <c r="M103" s="123"/>
      <c r="N103" s="123"/>
      <c r="O103" s="123"/>
      <c r="P103" s="123"/>
      <c r="Q103" s="123"/>
      <c r="R103" s="123"/>
      <c r="S103" s="64"/>
    </row>
    <row r="104" spans="1:19" ht="32.25" customHeight="1">
      <c r="A104" s="72"/>
      <c r="B104" s="182" t="s">
        <v>96</v>
      </c>
      <c r="C104" s="161"/>
      <c r="D104" s="161"/>
      <c r="E104" s="161"/>
      <c r="F104" s="161"/>
      <c r="G104" s="161"/>
      <c r="H104" s="161"/>
      <c r="I104" s="161"/>
      <c r="J104" s="161"/>
      <c r="K104" s="161"/>
      <c r="L104" s="161"/>
      <c r="M104" s="161"/>
      <c r="N104" s="161"/>
      <c r="O104" s="161"/>
      <c r="P104" s="161"/>
      <c r="Q104" s="161"/>
      <c r="R104" s="161"/>
      <c r="S104" s="82"/>
    </row>
    <row r="105" spans="1:19" ht="85.5" customHeight="1">
      <c r="B105" s="183" t="s">
        <v>97</v>
      </c>
      <c r="C105" s="82"/>
      <c r="D105" s="82"/>
      <c r="E105" s="82"/>
      <c r="F105" s="82"/>
      <c r="G105" s="82"/>
      <c r="H105" s="82"/>
      <c r="I105" s="82"/>
      <c r="J105" s="82"/>
      <c r="K105" s="82"/>
      <c r="L105" s="82"/>
      <c r="M105" s="82"/>
      <c r="N105" s="82"/>
      <c r="O105" s="82"/>
      <c r="P105" s="82"/>
      <c r="Q105" s="82"/>
      <c r="R105" s="82"/>
      <c r="S105" s="80"/>
    </row>
    <row r="106" spans="1:19" ht="18" customHeight="1">
      <c r="R106" s="5"/>
      <c r="S106" s="5"/>
    </row>
    <row r="107" spans="1:19" ht="19.5" customHeight="1">
      <c r="B107" s="7" t="s">
        <v>98</v>
      </c>
      <c r="C107" s="7"/>
      <c r="D107" s="7"/>
      <c r="E107" s="7"/>
      <c r="F107" s="7"/>
      <c r="G107" s="7"/>
      <c r="H107" s="7"/>
      <c r="I107" s="7"/>
      <c r="J107" s="7"/>
      <c r="K107" s="7"/>
      <c r="L107" s="7"/>
      <c r="M107" s="7"/>
      <c r="N107" s="7"/>
      <c r="O107" s="7"/>
      <c r="P107" s="7"/>
      <c r="R107" s="5"/>
      <c r="S107" s="5"/>
    </row>
    <row r="108" spans="1:19" ht="15.75" customHeight="1">
      <c r="B108" s="5" t="s">
        <v>99</v>
      </c>
    </row>
    <row r="109" spans="1:19" ht="15.75" customHeight="1"/>
    <row r="110" spans="1:19" ht="18" customHeight="1"/>
    <row r="111" spans="1:19" ht="15.75" customHeight="1"/>
    <row r="112" spans="1:19" ht="15.75" customHeight="1"/>
    <row r="113" ht="15.75" customHeight="1"/>
    <row r="114" ht="15.75" customHeight="1"/>
    <row r="115" ht="63.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sheetData>
  <mergeCells count="202">
    <mergeCell ref="Q82:S82"/>
    <mergeCell ref="Q83:S83"/>
    <mergeCell ref="C83:P83"/>
    <mergeCell ref="C84:P84"/>
    <mergeCell ref="Q84:S84"/>
    <mergeCell ref="C65:H65"/>
    <mergeCell ref="B104:S104"/>
    <mergeCell ref="B105:S105"/>
    <mergeCell ref="B89:S89"/>
    <mergeCell ref="B90:S90"/>
    <mergeCell ref="B92:S92"/>
    <mergeCell ref="B93:S93"/>
    <mergeCell ref="B94:S94"/>
    <mergeCell ref="B96:S96"/>
    <mergeCell ref="B97:S97"/>
    <mergeCell ref="A103:R103"/>
    <mergeCell ref="A102:R102"/>
    <mergeCell ref="C85:P85"/>
    <mergeCell ref="Q85:S85"/>
    <mergeCell ref="B86:P87"/>
    <mergeCell ref="Q86:S87"/>
    <mergeCell ref="B98:S98"/>
    <mergeCell ref="B99:S99"/>
    <mergeCell ref="B100:S101"/>
    <mergeCell ref="C80:P80"/>
    <mergeCell ref="Q80:S80"/>
    <mergeCell ref="C81:P81"/>
    <mergeCell ref="Q81:S81"/>
    <mergeCell ref="C82:P82"/>
    <mergeCell ref="Q77:R77"/>
    <mergeCell ref="Q78:R78"/>
    <mergeCell ref="K68:M68"/>
    <mergeCell ref="N68:P68"/>
    <mergeCell ref="Q70:R70"/>
    <mergeCell ref="B73:H75"/>
    <mergeCell ref="K73:P73"/>
    <mergeCell ref="Q73:R73"/>
    <mergeCell ref="S73:S75"/>
    <mergeCell ref="R74:R75"/>
    <mergeCell ref="B52:C52"/>
    <mergeCell ref="D52:F52"/>
    <mergeCell ref="G52:H52"/>
    <mergeCell ref="B53:C53"/>
    <mergeCell ref="D53:F53"/>
    <mergeCell ref="G53:H53"/>
    <mergeCell ref="B54:C54"/>
    <mergeCell ref="B55:C55"/>
    <mergeCell ref="D55:F55"/>
    <mergeCell ref="G55:H55"/>
    <mergeCell ref="D54:F54"/>
    <mergeCell ref="G54:H54"/>
    <mergeCell ref="R41:R42"/>
    <mergeCell ref="B35:S35"/>
    <mergeCell ref="B36:S36"/>
    <mergeCell ref="B38:S38"/>
    <mergeCell ref="B39:C42"/>
    <mergeCell ref="D39:F42"/>
    <mergeCell ref="G39:H42"/>
    <mergeCell ref="S39:S42"/>
    <mergeCell ref="D45:F45"/>
    <mergeCell ref="G45:H45"/>
    <mergeCell ref="B43:C43"/>
    <mergeCell ref="D43:F43"/>
    <mergeCell ref="G43:H43"/>
    <mergeCell ref="B44:C44"/>
    <mergeCell ref="D44:F44"/>
    <mergeCell ref="G44:H44"/>
    <mergeCell ref="B45:C45"/>
    <mergeCell ref="I41:L41"/>
    <mergeCell ref="M41:P41"/>
    <mergeCell ref="Q41:Q42"/>
    <mergeCell ref="R19:S19"/>
    <mergeCell ref="R20:S20"/>
    <mergeCell ref="R21:S21"/>
    <mergeCell ref="R22:S22"/>
    <mergeCell ref="B16:S17"/>
    <mergeCell ref="D19:K19"/>
    <mergeCell ref="L19:M19"/>
    <mergeCell ref="N19:P19"/>
    <mergeCell ref="D20:K20"/>
    <mergeCell ref="L20:M20"/>
    <mergeCell ref="N20:P20"/>
    <mergeCell ref="B19:C19"/>
    <mergeCell ref="B20:C20"/>
    <mergeCell ref="B21:C21"/>
    <mergeCell ref="B22:C22"/>
    <mergeCell ref="D21:K21"/>
    <mergeCell ref="L21:M21"/>
    <mergeCell ref="N21:P21"/>
    <mergeCell ref="D22:K22"/>
    <mergeCell ref="L22:M22"/>
    <mergeCell ref="N22:P22"/>
    <mergeCell ref="G7:M7"/>
    <mergeCell ref="N7:P7"/>
    <mergeCell ref="Q7:S7"/>
    <mergeCell ref="B8:F8"/>
    <mergeCell ref="G8:S8"/>
    <mergeCell ref="G10:S10"/>
    <mergeCell ref="G11:S11"/>
    <mergeCell ref="G12:O12"/>
    <mergeCell ref="R12:S12"/>
    <mergeCell ref="B10:F10"/>
    <mergeCell ref="B11:F11"/>
    <mergeCell ref="B12:F14"/>
    <mergeCell ref="B7:F7"/>
    <mergeCell ref="G13:O13"/>
    <mergeCell ref="R13:S13"/>
    <mergeCell ref="G14:O14"/>
    <mergeCell ref="R14:S14"/>
    <mergeCell ref="N6:P6"/>
    <mergeCell ref="Q6:S6"/>
    <mergeCell ref="B2:S2"/>
    <mergeCell ref="B4:F4"/>
    <mergeCell ref="G4:S4"/>
    <mergeCell ref="B5:F5"/>
    <mergeCell ref="G5:S5"/>
    <mergeCell ref="B6:F6"/>
    <mergeCell ref="G6:M6"/>
    <mergeCell ref="B23:S23"/>
    <mergeCell ref="B25:S25"/>
    <mergeCell ref="B27:S27"/>
    <mergeCell ref="C28:F28"/>
    <mergeCell ref="G28:S28"/>
    <mergeCell ref="C33:F33"/>
    <mergeCell ref="G33:S33"/>
    <mergeCell ref="I39:R39"/>
    <mergeCell ref="I40:P40"/>
    <mergeCell ref="Q40:R40"/>
    <mergeCell ref="C29:F29"/>
    <mergeCell ref="G29:S29"/>
    <mergeCell ref="C30:F30"/>
    <mergeCell ref="G30:S30"/>
    <mergeCell ref="C32:F32"/>
    <mergeCell ref="G32:S32"/>
    <mergeCell ref="C31:F31"/>
    <mergeCell ref="G31:S31"/>
    <mergeCell ref="D57:F57"/>
    <mergeCell ref="G57:H57"/>
    <mergeCell ref="Q59:R59"/>
    <mergeCell ref="N74:P75"/>
    <mergeCell ref="Q74:Q75"/>
    <mergeCell ref="C69:H69"/>
    <mergeCell ref="I69:J69"/>
    <mergeCell ref="K69:M69"/>
    <mergeCell ref="B56:C56"/>
    <mergeCell ref="D56:F56"/>
    <mergeCell ref="G56:H56"/>
    <mergeCell ref="B57:C57"/>
    <mergeCell ref="Q62:Q63"/>
    <mergeCell ref="R62:R63"/>
    <mergeCell ref="B61:H63"/>
    <mergeCell ref="I61:J63"/>
    <mergeCell ref="K61:P61"/>
    <mergeCell ref="Q61:R61"/>
    <mergeCell ref="C66:H66"/>
    <mergeCell ref="I66:J66"/>
    <mergeCell ref="K66:M66"/>
    <mergeCell ref="N66:P66"/>
    <mergeCell ref="I73:J75"/>
    <mergeCell ref="K74:M75"/>
    <mergeCell ref="D51:F51"/>
    <mergeCell ref="G48:H48"/>
    <mergeCell ref="B46:C46"/>
    <mergeCell ref="D46:F46"/>
    <mergeCell ref="G46:H46"/>
    <mergeCell ref="B47:C47"/>
    <mergeCell ref="D47:F47"/>
    <mergeCell ref="G47:H47"/>
    <mergeCell ref="B48:C48"/>
    <mergeCell ref="G51:H51"/>
    <mergeCell ref="B49:C49"/>
    <mergeCell ref="D49:F49"/>
    <mergeCell ref="G49:H49"/>
    <mergeCell ref="B50:C50"/>
    <mergeCell ref="D50:F50"/>
    <mergeCell ref="G50:H50"/>
    <mergeCell ref="B51:C51"/>
    <mergeCell ref="D48:F48"/>
    <mergeCell ref="U68:V68"/>
    <mergeCell ref="B58:C58"/>
    <mergeCell ref="D58:F58"/>
    <mergeCell ref="G58:H58"/>
    <mergeCell ref="C68:H68"/>
    <mergeCell ref="I68:J68"/>
    <mergeCell ref="C67:H67"/>
    <mergeCell ref="I67:J67"/>
    <mergeCell ref="K67:M67"/>
    <mergeCell ref="N67:P67"/>
    <mergeCell ref="U64:V64"/>
    <mergeCell ref="U65:V65"/>
    <mergeCell ref="U66:V66"/>
    <mergeCell ref="U67:V67"/>
    <mergeCell ref="S61:S63"/>
    <mergeCell ref="K62:M63"/>
    <mergeCell ref="N62:P63"/>
    <mergeCell ref="C64:H64"/>
    <mergeCell ref="I64:J64"/>
    <mergeCell ref="K64:M64"/>
    <mergeCell ref="N64:P64"/>
    <mergeCell ref="I65:J65"/>
    <mergeCell ref="K65:M65"/>
    <mergeCell ref="N65:P65"/>
  </mergeCells>
  <hyperlinks>
    <hyperlink ref="R13" r:id="rId1" xr:uid="{8AA741BD-7599-44D3-BDDE-261A0A9A15BD}"/>
  </hyperlinks>
  <pageMargins left="0.7" right="0.7" top="0.75" bottom="0.75" header="0" footer="0"/>
  <pageSetup orientation="landscape"/>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sheetPr>
  <dimension ref="A1:Z1000"/>
  <sheetViews>
    <sheetView workbookViewId="0"/>
  </sheetViews>
  <sheetFormatPr defaultColWidth="14.44140625" defaultRowHeight="15" customHeight="1"/>
  <cols>
    <col min="1" max="1" width="8.6640625" customWidth="1"/>
    <col min="2" max="2" width="22.109375" customWidth="1"/>
    <col min="3" max="3" width="37.109375" customWidth="1"/>
    <col min="4" max="4" width="23.44140625" customWidth="1"/>
    <col min="5" max="5" width="26.6640625" customWidth="1"/>
    <col min="6" max="26" width="8.6640625" customWidth="1"/>
  </cols>
  <sheetData>
    <row r="1" spans="1:26" ht="14.4">
      <c r="B1" s="34"/>
      <c r="E1" s="34"/>
    </row>
    <row r="2" spans="1:26" ht="14.4">
      <c r="B2" s="34"/>
      <c r="E2" s="34"/>
    </row>
    <row r="3" spans="1:26" ht="23.4" hidden="1">
      <c r="B3" s="35" t="s">
        <v>100</v>
      </c>
      <c r="E3" s="34"/>
    </row>
    <row r="4" spans="1:26" ht="57.6">
      <c r="B4" s="36" t="s">
        <v>101</v>
      </c>
      <c r="C4" s="37" t="s">
        <v>102</v>
      </c>
      <c r="D4" s="37" t="s">
        <v>103</v>
      </c>
      <c r="E4" s="37" t="s">
        <v>104</v>
      </c>
    </row>
    <row r="5" spans="1:26" ht="15.6" hidden="1">
      <c r="A5" s="30"/>
      <c r="B5" s="38" t="s">
        <v>100</v>
      </c>
      <c r="C5" s="39"/>
      <c r="D5" s="40"/>
      <c r="E5" s="39"/>
      <c r="F5" s="41"/>
      <c r="G5" s="41"/>
      <c r="H5" s="30"/>
      <c r="I5" s="30"/>
      <c r="J5" s="30"/>
      <c r="K5" s="30"/>
      <c r="L5" s="30"/>
      <c r="M5" s="30"/>
      <c r="N5" s="30"/>
      <c r="O5" s="30"/>
      <c r="P5" s="30"/>
      <c r="Q5" s="30"/>
      <c r="R5" s="30"/>
      <c r="S5" s="30"/>
      <c r="T5" s="30"/>
      <c r="U5" s="30"/>
      <c r="V5" s="30"/>
      <c r="W5" s="30"/>
      <c r="X5" s="30"/>
      <c r="Y5" s="30"/>
      <c r="Z5" s="30"/>
    </row>
    <row r="6" spans="1:26" ht="15.6" hidden="1">
      <c r="B6" s="42" t="s">
        <v>101</v>
      </c>
      <c r="C6" s="43"/>
      <c r="D6" s="43"/>
      <c r="E6" s="43"/>
      <c r="F6" s="43"/>
      <c r="G6" s="43"/>
    </row>
    <row r="7" spans="1:26" ht="15.6">
      <c r="B7" s="44" t="s">
        <v>105</v>
      </c>
      <c r="C7" s="45" t="s">
        <v>106</v>
      </c>
      <c r="D7" s="45"/>
      <c r="E7" s="45"/>
      <c r="F7" s="43"/>
      <c r="G7" s="43"/>
    </row>
    <row r="8" spans="1:26" ht="15.6">
      <c r="B8" s="44" t="s">
        <v>107</v>
      </c>
      <c r="C8" s="45" t="s">
        <v>108</v>
      </c>
      <c r="D8" s="46"/>
      <c r="E8" s="46"/>
      <c r="F8" s="43"/>
      <c r="G8" s="43"/>
    </row>
    <row r="9" spans="1:26" ht="15.6">
      <c r="B9" s="44"/>
      <c r="C9" s="45"/>
      <c r="D9" s="45"/>
      <c r="E9" s="45"/>
      <c r="F9" s="43"/>
      <c r="G9" s="43"/>
    </row>
    <row r="10" spans="1:26" ht="15.6">
      <c r="B10" s="47"/>
      <c r="C10" s="45"/>
      <c r="D10" s="45"/>
      <c r="E10" s="45"/>
      <c r="F10" s="43"/>
      <c r="G10" s="43"/>
    </row>
    <row r="11" spans="1:26" ht="15.6">
      <c r="B11" s="47"/>
      <c r="C11" s="45"/>
      <c r="D11" s="45"/>
      <c r="E11" s="45"/>
      <c r="F11" s="43"/>
      <c r="G11" s="43"/>
    </row>
    <row r="12" spans="1:26" ht="15.6">
      <c r="B12" s="47"/>
      <c r="C12" s="45"/>
      <c r="D12" s="45"/>
      <c r="E12" s="45"/>
      <c r="F12" s="43"/>
      <c r="G12" s="43"/>
    </row>
    <row r="13" spans="1:26" ht="15.6">
      <c r="B13" s="47"/>
      <c r="C13" s="45"/>
      <c r="D13" s="45"/>
      <c r="E13" s="45"/>
      <c r="F13" s="43"/>
      <c r="G13" s="43"/>
    </row>
    <row r="14" spans="1:26" ht="15.6">
      <c r="B14" s="48"/>
      <c r="C14" s="45"/>
      <c r="D14" s="45"/>
      <c r="E14" s="45"/>
      <c r="F14" s="43"/>
      <c r="G14" s="43"/>
    </row>
    <row r="15" spans="1:26" ht="15.6">
      <c r="B15" s="48"/>
      <c r="C15" s="45"/>
      <c r="D15" s="45"/>
      <c r="E15" s="45"/>
      <c r="F15" s="43"/>
      <c r="G15" s="43"/>
    </row>
    <row r="16" spans="1:26" ht="15.6">
      <c r="B16" s="48"/>
      <c r="C16" s="45"/>
      <c r="D16" s="45"/>
      <c r="E16" s="45"/>
      <c r="F16" s="43"/>
      <c r="G16" s="43"/>
    </row>
    <row r="17" spans="2:7" ht="15.6">
      <c r="B17" s="48"/>
      <c r="C17" s="45"/>
      <c r="D17" s="45"/>
      <c r="E17" s="45"/>
      <c r="F17" s="43"/>
      <c r="G17" s="43"/>
    </row>
    <row r="18" spans="2:7" ht="15.6">
      <c r="B18" s="48"/>
      <c r="C18" s="45"/>
      <c r="D18" s="45"/>
      <c r="E18" s="45"/>
      <c r="F18" s="43"/>
      <c r="G18" s="43"/>
    </row>
    <row r="19" spans="2:7" ht="15.6">
      <c r="B19" s="48"/>
      <c r="C19" s="45"/>
      <c r="D19" s="45"/>
      <c r="E19" s="45"/>
      <c r="F19" s="43"/>
      <c r="G19" s="43"/>
    </row>
    <row r="20" spans="2:7" ht="15.6">
      <c r="B20" s="48"/>
      <c r="C20" s="45"/>
      <c r="D20" s="45"/>
      <c r="E20" s="45"/>
      <c r="F20" s="43"/>
      <c r="G20" s="43"/>
    </row>
    <row r="21" spans="2:7" ht="15.75" customHeight="1">
      <c r="B21" s="48"/>
      <c r="C21" s="45"/>
      <c r="D21" s="45"/>
      <c r="E21" s="45"/>
      <c r="F21" s="43"/>
      <c r="G21" s="43"/>
    </row>
    <row r="22" spans="2:7" ht="15.75" customHeight="1">
      <c r="B22" s="48"/>
      <c r="C22" s="45"/>
      <c r="D22" s="45"/>
      <c r="E22" s="45"/>
      <c r="F22" s="43"/>
      <c r="G22" s="43"/>
    </row>
    <row r="23" spans="2:7" ht="15.75" customHeight="1">
      <c r="B23" s="48"/>
      <c r="C23" s="45"/>
      <c r="D23" s="45"/>
      <c r="E23" s="45"/>
      <c r="F23" s="43"/>
      <c r="G23" s="43"/>
    </row>
    <row r="24" spans="2:7" ht="15.75" customHeight="1">
      <c r="B24" s="48"/>
      <c r="C24" s="45"/>
      <c r="D24" s="45"/>
      <c r="E24" s="45"/>
      <c r="F24" s="43"/>
      <c r="G24" s="43"/>
    </row>
    <row r="25" spans="2:7" ht="15.75" customHeight="1">
      <c r="B25" s="48"/>
      <c r="C25" s="45"/>
      <c r="D25" s="45"/>
      <c r="E25" s="45"/>
      <c r="F25" s="43"/>
      <c r="G25" s="43"/>
    </row>
    <row r="26" spans="2:7" ht="15.75" customHeight="1">
      <c r="B26" s="48"/>
      <c r="C26" s="45"/>
      <c r="D26" s="45"/>
      <c r="E26" s="45"/>
      <c r="F26" s="43"/>
      <c r="G26" s="43"/>
    </row>
    <row r="27" spans="2:7" ht="15.75" customHeight="1">
      <c r="B27" s="48"/>
      <c r="C27" s="45"/>
      <c r="D27" s="45"/>
      <c r="E27" s="45"/>
      <c r="F27" s="43"/>
      <c r="G27" s="43"/>
    </row>
    <row r="28" spans="2:7" ht="15.75" customHeight="1">
      <c r="B28" s="48"/>
      <c r="C28" s="45"/>
      <c r="D28" s="45"/>
      <c r="E28" s="45"/>
      <c r="F28" s="43"/>
      <c r="G28" s="43"/>
    </row>
    <row r="29" spans="2:7" ht="15.75" customHeight="1">
      <c r="B29" s="48"/>
      <c r="C29" s="45"/>
      <c r="D29" s="45"/>
      <c r="E29" s="45"/>
      <c r="F29" s="43"/>
      <c r="G29" s="43"/>
    </row>
    <row r="30" spans="2:7" ht="15.75" customHeight="1">
      <c r="B30" s="48"/>
      <c r="C30" s="45"/>
      <c r="D30" s="45"/>
      <c r="E30" s="45"/>
      <c r="F30" s="43"/>
      <c r="G30" s="43"/>
    </row>
    <row r="31" spans="2:7" ht="15.75" customHeight="1">
      <c r="B31" s="48"/>
      <c r="C31" s="45"/>
      <c r="D31" s="45"/>
      <c r="E31" s="45"/>
      <c r="F31" s="43"/>
      <c r="G31" s="43"/>
    </row>
    <row r="32" spans="2:7" ht="15.75" customHeight="1">
      <c r="B32" s="48"/>
      <c r="C32" s="45"/>
      <c r="D32" s="45"/>
      <c r="E32" s="45"/>
      <c r="F32" s="43"/>
      <c r="G32" s="43"/>
    </row>
    <row r="33" spans="2:7" ht="15.75" customHeight="1">
      <c r="B33" s="48"/>
      <c r="C33" s="45"/>
      <c r="D33" s="45"/>
      <c r="E33" s="45"/>
      <c r="F33" s="43"/>
      <c r="G33" s="43"/>
    </row>
    <row r="34" spans="2:7" ht="15.75" customHeight="1">
      <c r="B34" s="48"/>
      <c r="C34" s="45"/>
      <c r="D34" s="45"/>
      <c r="E34" s="45"/>
      <c r="F34" s="43"/>
      <c r="G34" s="43"/>
    </row>
    <row r="35" spans="2:7" ht="15.75" customHeight="1">
      <c r="B35" s="48"/>
      <c r="C35" s="45"/>
      <c r="D35" s="45"/>
      <c r="E35" s="45"/>
      <c r="F35" s="43"/>
      <c r="G35" s="43"/>
    </row>
    <row r="36" spans="2:7" ht="15.75" customHeight="1">
      <c r="B36" s="48"/>
      <c r="C36" s="45"/>
      <c r="D36" s="45"/>
      <c r="E36" s="45"/>
      <c r="F36" s="43"/>
      <c r="G36" s="43"/>
    </row>
    <row r="37" spans="2:7" ht="15.75" customHeight="1">
      <c r="B37" s="48"/>
      <c r="C37" s="45"/>
      <c r="D37" s="45"/>
      <c r="E37" s="45"/>
      <c r="F37" s="43"/>
      <c r="G37" s="43"/>
    </row>
    <row r="38" spans="2:7" ht="15.75" customHeight="1">
      <c r="B38" s="48"/>
      <c r="C38" s="45"/>
      <c r="D38" s="45"/>
      <c r="E38" s="45"/>
      <c r="F38" s="43"/>
      <c r="G38" s="43"/>
    </row>
    <row r="39" spans="2:7" ht="15.75" customHeight="1">
      <c r="B39" s="48"/>
      <c r="C39" s="45"/>
      <c r="D39" s="45"/>
      <c r="E39" s="45"/>
      <c r="F39" s="43"/>
      <c r="G39" s="43"/>
    </row>
    <row r="40" spans="2:7" ht="15.75" customHeight="1">
      <c r="B40" s="48"/>
      <c r="C40" s="45"/>
      <c r="D40" s="45"/>
      <c r="E40" s="45"/>
      <c r="F40" s="43"/>
      <c r="G40" s="43"/>
    </row>
    <row r="41" spans="2:7" ht="15.75" customHeight="1">
      <c r="B41" s="49"/>
      <c r="C41" s="43"/>
      <c r="D41" s="43"/>
      <c r="E41" s="43"/>
      <c r="F41" s="43"/>
      <c r="G41" s="43"/>
    </row>
    <row r="42" spans="2:7" ht="15.75" customHeight="1">
      <c r="B42" s="49"/>
      <c r="C42" s="43"/>
      <c r="D42" s="43"/>
      <c r="E42" s="43"/>
      <c r="F42" s="43"/>
      <c r="G42" s="43"/>
    </row>
    <row r="43" spans="2:7" ht="15.75" customHeight="1">
      <c r="B43" s="49"/>
      <c r="C43" s="43"/>
      <c r="D43" s="43"/>
      <c r="E43" s="43"/>
      <c r="F43" s="43"/>
      <c r="G43" s="43"/>
    </row>
    <row r="44" spans="2:7" ht="15.75" customHeight="1">
      <c r="B44" s="49"/>
      <c r="C44" s="43"/>
      <c r="D44" s="43"/>
      <c r="E44" s="43"/>
      <c r="F44" s="43"/>
      <c r="G44" s="43"/>
    </row>
    <row r="45" spans="2:7" ht="15.75" customHeight="1">
      <c r="B45" s="49"/>
      <c r="C45" s="43"/>
      <c r="D45" s="43"/>
      <c r="E45" s="43"/>
      <c r="F45" s="43"/>
      <c r="G45" s="43"/>
    </row>
    <row r="46" spans="2:7" ht="15.75" customHeight="1">
      <c r="B46" s="49"/>
      <c r="C46" s="43"/>
      <c r="D46" s="43"/>
      <c r="E46" s="43"/>
      <c r="F46" s="43"/>
      <c r="G46" s="43"/>
    </row>
    <row r="47" spans="2:7" ht="15.75" customHeight="1">
      <c r="B47" s="49"/>
      <c r="C47" s="43"/>
      <c r="D47" s="43"/>
      <c r="E47" s="43"/>
      <c r="F47" s="43"/>
      <c r="G47" s="43"/>
    </row>
    <row r="48" spans="2:7" ht="15.75" customHeight="1">
      <c r="B48" s="49"/>
      <c r="C48" s="43"/>
      <c r="D48" s="43"/>
      <c r="E48" s="43"/>
      <c r="F48" s="43"/>
      <c r="G48" s="43"/>
    </row>
    <row r="49" spans="2:7" ht="15.75" customHeight="1">
      <c r="B49" s="49"/>
      <c r="C49" s="43"/>
      <c r="D49" s="43"/>
      <c r="E49" s="43"/>
      <c r="F49" s="43"/>
      <c r="G49" s="43"/>
    </row>
    <row r="50" spans="2:7" ht="15.75" customHeight="1">
      <c r="B50" s="49"/>
      <c r="C50" s="43"/>
      <c r="D50" s="43"/>
      <c r="E50" s="43"/>
      <c r="F50" s="43"/>
      <c r="G50" s="43"/>
    </row>
    <row r="51" spans="2:7" ht="15.75" customHeight="1">
      <c r="B51" s="49"/>
      <c r="C51" s="43"/>
      <c r="D51" s="43"/>
      <c r="E51" s="43"/>
      <c r="F51" s="43"/>
      <c r="G51" s="43"/>
    </row>
    <row r="52" spans="2:7" ht="15.75" customHeight="1">
      <c r="B52" s="49"/>
      <c r="C52" s="43"/>
      <c r="D52" s="43"/>
      <c r="E52" s="43"/>
      <c r="F52" s="43"/>
      <c r="G52" s="43"/>
    </row>
    <row r="53" spans="2:7" ht="15.75" customHeight="1">
      <c r="B53" s="49"/>
      <c r="C53" s="43"/>
      <c r="D53" s="43"/>
      <c r="E53" s="43"/>
      <c r="F53" s="43"/>
      <c r="G53" s="43"/>
    </row>
    <row r="54" spans="2:7" ht="15.75" customHeight="1">
      <c r="B54" s="49"/>
      <c r="C54" s="43"/>
      <c r="D54" s="43"/>
      <c r="E54" s="43"/>
      <c r="F54" s="43"/>
      <c r="G54" s="43"/>
    </row>
    <row r="55" spans="2:7" ht="15.75" customHeight="1">
      <c r="B55" s="49"/>
      <c r="C55" s="43"/>
      <c r="D55" s="43"/>
      <c r="E55" s="43"/>
      <c r="F55" s="43"/>
      <c r="G55" s="43"/>
    </row>
    <row r="56" spans="2:7" ht="15.75" customHeight="1">
      <c r="B56" s="49"/>
      <c r="C56" s="43"/>
      <c r="D56" s="43"/>
      <c r="E56" s="43"/>
      <c r="F56" s="43"/>
      <c r="G56" s="43"/>
    </row>
    <row r="57" spans="2:7" ht="15.75" customHeight="1">
      <c r="B57" s="49"/>
      <c r="C57" s="43"/>
      <c r="D57" s="43"/>
      <c r="E57" s="43"/>
      <c r="F57" s="43"/>
      <c r="G57" s="43"/>
    </row>
    <row r="58" spans="2:7" ht="15.75" customHeight="1">
      <c r="B58" s="49"/>
      <c r="C58" s="43"/>
      <c r="D58" s="43"/>
      <c r="E58" s="43"/>
      <c r="F58" s="43"/>
      <c r="G58" s="43"/>
    </row>
    <row r="59" spans="2:7" ht="15.75" customHeight="1">
      <c r="B59" s="49"/>
      <c r="C59" s="43"/>
      <c r="D59" s="43"/>
      <c r="E59" s="43"/>
      <c r="F59" s="43"/>
      <c r="G59" s="43"/>
    </row>
    <row r="60" spans="2:7" ht="15.75" customHeight="1">
      <c r="B60" s="49"/>
      <c r="C60" s="43"/>
      <c r="D60" s="43"/>
      <c r="E60" s="43"/>
      <c r="F60" s="43"/>
      <c r="G60" s="43"/>
    </row>
    <row r="61" spans="2:7" ht="15.75" customHeight="1">
      <c r="B61" s="49"/>
      <c r="C61" s="43"/>
      <c r="D61" s="43"/>
      <c r="E61" s="43"/>
      <c r="F61" s="43"/>
      <c r="G61" s="43"/>
    </row>
    <row r="62" spans="2:7" ht="15.75" customHeight="1">
      <c r="B62" s="49"/>
      <c r="C62" s="43"/>
      <c r="D62" s="43"/>
      <c r="E62" s="43"/>
      <c r="F62" s="43"/>
      <c r="G62" s="43"/>
    </row>
    <row r="63" spans="2:7" ht="15.75" customHeight="1">
      <c r="B63" s="49"/>
      <c r="C63" s="43"/>
      <c r="D63" s="43"/>
      <c r="E63" s="43"/>
      <c r="F63" s="43"/>
      <c r="G63" s="43"/>
    </row>
    <row r="64" spans="2:7" ht="15.75" customHeight="1">
      <c r="B64" s="49"/>
      <c r="C64" s="43"/>
      <c r="D64" s="43"/>
      <c r="E64" s="43"/>
      <c r="F64" s="43"/>
      <c r="G64" s="43"/>
    </row>
    <row r="65" spans="2:7" ht="15.75" customHeight="1">
      <c r="B65" s="49"/>
      <c r="C65" s="43"/>
      <c r="D65" s="43"/>
      <c r="E65" s="43"/>
      <c r="F65" s="43"/>
      <c r="G65" s="43"/>
    </row>
    <row r="66" spans="2:7" ht="15.75" customHeight="1"/>
    <row r="67" spans="2:7" ht="15.75" customHeight="1"/>
    <row r="68" spans="2:7" ht="15.75" customHeight="1"/>
    <row r="69" spans="2:7" ht="15.75" customHeight="1"/>
    <row r="70" spans="2:7" ht="15.75" customHeight="1"/>
    <row r="71" spans="2:7" ht="15.75" customHeight="1"/>
    <row r="72" spans="2:7" ht="15.75" customHeight="1"/>
    <row r="73" spans="2:7" ht="15.75" customHeight="1"/>
    <row r="74" spans="2:7" ht="15.75" customHeight="1"/>
    <row r="75" spans="2:7" ht="15.75" customHeight="1"/>
    <row r="76" spans="2:7" ht="15.75" customHeight="1"/>
    <row r="77" spans="2:7" ht="15.75" customHeight="1"/>
    <row r="78" spans="2:7" ht="15.75" customHeight="1"/>
    <row r="79" spans="2:7" ht="15.75" customHeight="1"/>
    <row r="80" spans="2:7"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ef="B3" location="null!A1" display="CI_Template" xr:uid="{00000000-0004-0000-0100-000000000000}"/>
    <hyperlink ref="B4" location="Course_Index!A1" display="Course_Index" xr:uid="{00000000-0004-0000-0100-000001000000}"/>
    <hyperlink ref="B5" location="null!A1" display="CI_Template" xr:uid="{00000000-0004-0000-0100-000002000000}"/>
    <hyperlink ref="B6" location="Course_Index!A1" display="Course_Index" xr:uid="{00000000-0004-0000-0100-000003000000}"/>
    <hyperlink ref="B7" location="CI_Explanation!A1" display="CI_Explanation" xr:uid="{00000000-0004-0000-0100-000004000000}"/>
    <hyperlink ref="B8" location="'Example_SHPP 2102'!A1" display="Example_SHPP 2102" xr:uid="{00000000-0004-0000-0100-000005000000}"/>
  </hyperlinks>
  <pageMargins left="0.7" right="0.7" top="0.75" bottom="0.75" header="0" footer="0"/>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Z1000"/>
  <sheetViews>
    <sheetView workbookViewId="0"/>
  </sheetViews>
  <sheetFormatPr defaultColWidth="14.44140625" defaultRowHeight="15" customHeight="1"/>
  <cols>
    <col min="1" max="1" width="2.44140625" customWidth="1"/>
    <col min="2" max="2" width="5" customWidth="1"/>
    <col min="3" max="3" width="4.44140625" customWidth="1"/>
    <col min="4" max="4" width="3" customWidth="1"/>
    <col min="5" max="5" width="3.44140625" customWidth="1"/>
    <col min="6" max="8" width="3.109375" customWidth="1"/>
    <col min="9" max="9" width="2.6640625" customWidth="1"/>
    <col min="10" max="10" width="3.109375" customWidth="1"/>
    <col min="11" max="11" width="2.44140625" customWidth="1"/>
    <col min="12" max="12" width="2.6640625" customWidth="1"/>
    <col min="13" max="13" width="3.44140625" customWidth="1"/>
    <col min="14" max="14" width="3" customWidth="1"/>
    <col min="15" max="15" width="3.44140625" customWidth="1"/>
    <col min="16" max="16" width="6.44140625" customWidth="1"/>
    <col min="17" max="17" width="11.109375" customWidth="1"/>
    <col min="18" max="18" width="5.6640625" customWidth="1"/>
    <col min="19" max="19" width="7.44140625" customWidth="1"/>
    <col min="20" max="26" width="8.6640625" customWidth="1"/>
  </cols>
  <sheetData>
    <row r="2" spans="2:19" ht="46.5" customHeight="1">
      <c r="B2" s="126" t="s">
        <v>0</v>
      </c>
      <c r="C2" s="107"/>
      <c r="D2" s="107"/>
      <c r="E2" s="107"/>
      <c r="F2" s="107"/>
      <c r="G2" s="107"/>
      <c r="H2" s="107"/>
      <c r="I2" s="107"/>
      <c r="J2" s="107"/>
      <c r="K2" s="107"/>
      <c r="L2" s="107"/>
      <c r="M2" s="107"/>
      <c r="N2" s="107"/>
      <c r="O2" s="107"/>
      <c r="P2" s="107"/>
      <c r="Q2" s="107"/>
      <c r="R2" s="107"/>
      <c r="S2" s="107"/>
    </row>
    <row r="4" spans="2:19" ht="20.25" customHeight="1">
      <c r="B4" s="196" t="s">
        <v>1</v>
      </c>
      <c r="C4" s="82"/>
      <c r="D4" s="82"/>
      <c r="E4" s="82"/>
      <c r="F4" s="80"/>
      <c r="G4" s="197"/>
      <c r="H4" s="82"/>
      <c r="I4" s="82"/>
      <c r="J4" s="82"/>
      <c r="K4" s="82"/>
      <c r="L4" s="82"/>
      <c r="M4" s="82"/>
      <c r="N4" s="82"/>
      <c r="O4" s="82"/>
      <c r="P4" s="82"/>
      <c r="Q4" s="82"/>
      <c r="R4" s="82"/>
      <c r="S4" s="80"/>
    </row>
    <row r="5" spans="2:19" ht="20.25" customHeight="1">
      <c r="B5" s="129" t="s">
        <v>2</v>
      </c>
      <c r="C5" s="82"/>
      <c r="D5" s="82"/>
      <c r="E5" s="82"/>
      <c r="F5" s="80"/>
      <c r="G5" s="130"/>
      <c r="H5" s="82"/>
      <c r="I5" s="82"/>
      <c r="J5" s="82"/>
      <c r="K5" s="82"/>
      <c r="L5" s="82"/>
      <c r="M5" s="82"/>
      <c r="N5" s="82"/>
      <c r="O5" s="82"/>
      <c r="P5" s="82"/>
      <c r="Q5" s="82"/>
      <c r="R5" s="82"/>
      <c r="S5" s="80"/>
    </row>
    <row r="6" spans="2:19" ht="24" customHeight="1">
      <c r="B6" s="129" t="s">
        <v>4</v>
      </c>
      <c r="C6" s="82"/>
      <c r="D6" s="82"/>
      <c r="E6" s="82"/>
      <c r="F6" s="80"/>
      <c r="G6" s="125"/>
      <c r="H6" s="82"/>
      <c r="I6" s="82"/>
      <c r="J6" s="82"/>
      <c r="K6" s="82"/>
      <c r="L6" s="82"/>
      <c r="M6" s="80"/>
      <c r="N6" s="124" t="s">
        <v>5</v>
      </c>
      <c r="O6" s="82"/>
      <c r="P6" s="80"/>
      <c r="Q6" s="125"/>
      <c r="R6" s="82"/>
      <c r="S6" s="80"/>
    </row>
    <row r="7" spans="2:19" ht="48" customHeight="1">
      <c r="B7" s="129" t="s">
        <v>6</v>
      </c>
      <c r="C7" s="82"/>
      <c r="D7" s="82"/>
      <c r="E7" s="82"/>
      <c r="F7" s="80"/>
      <c r="G7" s="125" t="s">
        <v>106</v>
      </c>
      <c r="H7" s="82"/>
      <c r="I7" s="82"/>
      <c r="J7" s="82"/>
      <c r="K7" s="82"/>
      <c r="L7" s="82"/>
      <c r="M7" s="80"/>
      <c r="N7" s="124" t="s">
        <v>8</v>
      </c>
      <c r="O7" s="82"/>
      <c r="P7" s="80"/>
      <c r="Q7" s="125"/>
      <c r="R7" s="82"/>
      <c r="S7" s="80"/>
    </row>
    <row r="8" spans="2:19" ht="20.25" customHeight="1">
      <c r="B8" s="129" t="s">
        <v>9</v>
      </c>
      <c r="C8" s="82"/>
      <c r="D8" s="82"/>
      <c r="E8" s="82"/>
      <c r="F8" s="80"/>
      <c r="G8" s="125"/>
      <c r="H8" s="82"/>
      <c r="I8" s="82"/>
      <c r="J8" s="82"/>
      <c r="K8" s="82"/>
      <c r="L8" s="82"/>
      <c r="M8" s="82"/>
      <c r="N8" s="82"/>
      <c r="O8" s="82"/>
      <c r="P8" s="82"/>
      <c r="Q8" s="82"/>
      <c r="R8" s="82"/>
      <c r="S8" s="80"/>
    </row>
    <row r="10" spans="2:19" ht="99.75" customHeight="1">
      <c r="B10" s="133" t="s">
        <v>10</v>
      </c>
      <c r="C10" s="82"/>
      <c r="D10" s="82"/>
      <c r="E10" s="82"/>
      <c r="F10" s="80"/>
      <c r="G10" s="150"/>
      <c r="H10" s="82"/>
      <c r="I10" s="82"/>
      <c r="J10" s="82"/>
      <c r="K10" s="82"/>
      <c r="L10" s="82"/>
      <c r="M10" s="82"/>
      <c r="N10" s="82"/>
      <c r="O10" s="82"/>
      <c r="P10" s="82"/>
      <c r="Q10" s="82"/>
      <c r="R10" s="82"/>
      <c r="S10" s="80"/>
    </row>
    <row r="11" spans="2:19" ht="64.5" customHeight="1">
      <c r="B11" s="133" t="s">
        <v>11</v>
      </c>
      <c r="C11" s="82"/>
      <c r="D11" s="82"/>
      <c r="E11" s="82"/>
      <c r="F11" s="80"/>
      <c r="G11" s="198"/>
      <c r="H11" s="82"/>
      <c r="I11" s="82"/>
      <c r="J11" s="82"/>
      <c r="K11" s="82"/>
      <c r="L11" s="82"/>
      <c r="M11" s="82"/>
      <c r="N11" s="82"/>
      <c r="O11" s="82"/>
      <c r="P11" s="82"/>
      <c r="Q11" s="82"/>
      <c r="R11" s="82"/>
      <c r="S11" s="80"/>
    </row>
    <row r="12" spans="2:19" ht="24.75" customHeight="1">
      <c r="B12" s="134" t="s">
        <v>12</v>
      </c>
      <c r="C12" s="93"/>
      <c r="D12" s="93"/>
      <c r="E12" s="93"/>
      <c r="F12" s="94"/>
      <c r="G12" s="133" t="s">
        <v>13</v>
      </c>
      <c r="H12" s="82"/>
      <c r="I12" s="82"/>
      <c r="J12" s="82"/>
      <c r="K12" s="82"/>
      <c r="L12" s="82"/>
      <c r="M12" s="82"/>
      <c r="N12" s="82"/>
      <c r="O12" s="80"/>
      <c r="P12" s="2" t="s">
        <v>14</v>
      </c>
      <c r="Q12" s="2" t="s">
        <v>15</v>
      </c>
      <c r="R12" s="133" t="s">
        <v>16</v>
      </c>
      <c r="S12" s="80"/>
    </row>
    <row r="13" spans="2:19" ht="10.5" customHeight="1">
      <c r="B13" s="106"/>
      <c r="C13" s="107"/>
      <c r="D13" s="107"/>
      <c r="E13" s="107"/>
      <c r="F13" s="108"/>
      <c r="G13" s="140"/>
      <c r="H13" s="82"/>
      <c r="I13" s="82"/>
      <c r="J13" s="82"/>
      <c r="K13" s="82"/>
      <c r="L13" s="82"/>
      <c r="M13" s="82"/>
      <c r="N13" s="82"/>
      <c r="O13" s="82"/>
      <c r="P13" s="4"/>
      <c r="Q13" s="4"/>
      <c r="R13" s="140"/>
      <c r="S13" s="80"/>
    </row>
    <row r="14" spans="2:19" ht="15.75" customHeight="1">
      <c r="B14" s="106"/>
      <c r="C14" s="107"/>
      <c r="D14" s="107"/>
      <c r="E14" s="107"/>
      <c r="F14" s="108"/>
      <c r="G14" s="125"/>
      <c r="H14" s="82"/>
      <c r="I14" s="82"/>
      <c r="J14" s="82"/>
      <c r="K14" s="82"/>
      <c r="L14" s="82"/>
      <c r="M14" s="82"/>
      <c r="N14" s="82"/>
      <c r="O14" s="82"/>
      <c r="P14" s="50"/>
      <c r="Q14" s="50"/>
      <c r="R14" s="125"/>
      <c r="S14" s="80"/>
    </row>
    <row r="15" spans="2:19" ht="15.75" customHeight="1">
      <c r="B15" s="95"/>
      <c r="C15" s="96"/>
      <c r="D15" s="96"/>
      <c r="E15" s="96"/>
      <c r="F15" s="97"/>
      <c r="G15" s="125"/>
      <c r="H15" s="82"/>
      <c r="I15" s="82"/>
      <c r="J15" s="82"/>
      <c r="K15" s="82"/>
      <c r="L15" s="82"/>
      <c r="M15" s="82"/>
      <c r="N15" s="82"/>
      <c r="O15" s="82"/>
      <c r="P15" s="50"/>
      <c r="Q15" s="50"/>
      <c r="R15" s="125"/>
      <c r="S15" s="80"/>
    </row>
    <row r="16" spans="2:19" ht="14.4">
      <c r="C16" s="5"/>
      <c r="D16" s="5"/>
      <c r="E16" s="5"/>
    </row>
    <row r="17" spans="1:26" ht="14.25" customHeight="1">
      <c r="B17" s="143" t="s">
        <v>17</v>
      </c>
      <c r="C17" s="107"/>
      <c r="D17" s="107"/>
      <c r="E17" s="107"/>
      <c r="F17" s="107"/>
      <c r="G17" s="107"/>
      <c r="H17" s="107"/>
      <c r="I17" s="107"/>
      <c r="J17" s="107"/>
      <c r="K17" s="107"/>
      <c r="L17" s="107"/>
      <c r="M17" s="107"/>
      <c r="N17" s="107"/>
      <c r="O17" s="107"/>
      <c r="P17" s="107"/>
      <c r="Q17" s="107"/>
      <c r="R17" s="107"/>
      <c r="S17" s="107"/>
    </row>
    <row r="18" spans="1:26" ht="15" customHeight="1">
      <c r="B18" s="107"/>
      <c r="C18" s="107"/>
      <c r="D18" s="107"/>
      <c r="E18" s="107"/>
      <c r="F18" s="107"/>
      <c r="G18" s="107"/>
      <c r="H18" s="107"/>
      <c r="I18" s="107"/>
      <c r="J18" s="107"/>
      <c r="K18" s="107"/>
      <c r="L18" s="107"/>
      <c r="M18" s="107"/>
      <c r="N18" s="107"/>
      <c r="O18" s="107"/>
      <c r="P18" s="107"/>
      <c r="Q18" s="107"/>
      <c r="R18" s="107"/>
      <c r="S18" s="107"/>
    </row>
    <row r="20" spans="1:26" ht="60" customHeight="1">
      <c r="A20" s="7"/>
      <c r="B20" s="144" t="s">
        <v>18</v>
      </c>
      <c r="C20" s="80"/>
      <c r="D20" s="144" t="s">
        <v>19</v>
      </c>
      <c r="E20" s="82"/>
      <c r="F20" s="82"/>
      <c r="G20" s="82"/>
      <c r="H20" s="82"/>
      <c r="I20" s="82"/>
      <c r="J20" s="82"/>
      <c r="K20" s="80"/>
      <c r="L20" s="145" t="s">
        <v>20</v>
      </c>
      <c r="M20" s="80"/>
      <c r="N20" s="145" t="s">
        <v>21</v>
      </c>
      <c r="O20" s="82"/>
      <c r="P20" s="80"/>
      <c r="Q20" s="8" t="s">
        <v>22</v>
      </c>
      <c r="R20" s="141" t="s">
        <v>23</v>
      </c>
      <c r="S20" s="80"/>
      <c r="T20" s="7"/>
      <c r="U20" s="7"/>
      <c r="V20" s="7"/>
      <c r="W20" s="7"/>
      <c r="X20" s="7"/>
      <c r="Y20" s="7"/>
      <c r="Z20" s="7"/>
    </row>
    <row r="21" spans="1:26" ht="19.5" customHeight="1">
      <c r="B21" s="149" t="s">
        <v>24</v>
      </c>
      <c r="C21" s="80"/>
      <c r="D21" s="149"/>
      <c r="E21" s="82"/>
      <c r="F21" s="82"/>
      <c r="G21" s="82"/>
      <c r="H21" s="82"/>
      <c r="I21" s="82"/>
      <c r="J21" s="82"/>
      <c r="K21" s="80"/>
      <c r="L21" s="149"/>
      <c r="M21" s="80"/>
      <c r="N21" s="149"/>
      <c r="O21" s="82"/>
      <c r="P21" s="80"/>
      <c r="Q21" s="22"/>
      <c r="R21" s="195"/>
      <c r="S21" s="80"/>
    </row>
    <row r="22" spans="1:26" ht="19.5" customHeight="1">
      <c r="B22" s="149" t="s">
        <v>25</v>
      </c>
      <c r="C22" s="80"/>
      <c r="D22" s="149"/>
      <c r="E22" s="82"/>
      <c r="F22" s="82"/>
      <c r="G22" s="82"/>
      <c r="H22" s="82"/>
      <c r="I22" s="82"/>
      <c r="J22" s="82"/>
      <c r="K22" s="80"/>
      <c r="L22" s="149"/>
      <c r="M22" s="80"/>
      <c r="N22" s="149"/>
      <c r="O22" s="82"/>
      <c r="P22" s="80"/>
      <c r="Q22" s="22"/>
      <c r="R22" s="195"/>
      <c r="S22" s="80"/>
    </row>
    <row r="23" spans="1:26" ht="19.5" customHeight="1">
      <c r="B23" s="149" t="s">
        <v>27</v>
      </c>
      <c r="C23" s="80"/>
      <c r="D23" s="149"/>
      <c r="E23" s="82"/>
      <c r="F23" s="82"/>
      <c r="G23" s="82"/>
      <c r="H23" s="82"/>
      <c r="I23" s="82"/>
      <c r="J23" s="82"/>
      <c r="K23" s="80"/>
      <c r="L23" s="149"/>
      <c r="M23" s="80"/>
      <c r="N23" s="149"/>
      <c r="O23" s="82"/>
      <c r="P23" s="80"/>
      <c r="Q23" s="22"/>
      <c r="R23" s="195"/>
      <c r="S23" s="80"/>
    </row>
    <row r="24" spans="1:26" ht="19.5" customHeight="1">
      <c r="B24" s="149" t="s">
        <v>29</v>
      </c>
      <c r="C24" s="80"/>
      <c r="D24" s="149"/>
      <c r="E24" s="82"/>
      <c r="F24" s="82"/>
      <c r="G24" s="82"/>
      <c r="H24" s="82"/>
      <c r="I24" s="82"/>
      <c r="J24" s="82"/>
      <c r="K24" s="80"/>
      <c r="L24" s="149"/>
      <c r="M24" s="80"/>
      <c r="N24" s="149"/>
      <c r="O24" s="82"/>
      <c r="P24" s="80"/>
      <c r="Q24" s="22"/>
      <c r="R24" s="195"/>
      <c r="S24" s="80"/>
    </row>
    <row r="25" spans="1:26" ht="117" customHeight="1">
      <c r="B25" s="85" t="s">
        <v>109</v>
      </c>
      <c r="C25" s="82"/>
      <c r="D25" s="82"/>
      <c r="E25" s="82"/>
      <c r="F25" s="82"/>
      <c r="G25" s="82"/>
      <c r="H25" s="82"/>
      <c r="I25" s="82"/>
      <c r="J25" s="82"/>
      <c r="K25" s="82"/>
      <c r="L25" s="82"/>
      <c r="M25" s="82"/>
      <c r="N25" s="82"/>
      <c r="O25" s="82"/>
      <c r="P25" s="82"/>
      <c r="Q25" s="82"/>
      <c r="R25" s="82"/>
      <c r="S25" s="80"/>
    </row>
    <row r="26" spans="1:26" ht="9" customHeight="1">
      <c r="B26" s="6"/>
      <c r="C26" s="6"/>
      <c r="D26" s="6"/>
      <c r="E26" s="6"/>
      <c r="F26" s="6"/>
      <c r="G26" s="6"/>
      <c r="H26" s="6"/>
      <c r="I26" s="6"/>
      <c r="J26" s="6"/>
      <c r="K26" s="6"/>
      <c r="L26" s="6"/>
      <c r="M26" s="6"/>
      <c r="N26" s="6"/>
      <c r="O26" s="6"/>
      <c r="P26" s="6"/>
      <c r="Q26" s="6"/>
      <c r="R26" s="6"/>
      <c r="S26" s="6"/>
    </row>
    <row r="27" spans="1:26" ht="87" customHeight="1">
      <c r="B27" s="183" t="s">
        <v>110</v>
      </c>
      <c r="C27" s="82"/>
      <c r="D27" s="82"/>
      <c r="E27" s="82"/>
      <c r="F27" s="82"/>
      <c r="G27" s="82"/>
      <c r="H27" s="82"/>
      <c r="I27" s="82"/>
      <c r="J27" s="82"/>
      <c r="K27" s="82"/>
      <c r="L27" s="82"/>
      <c r="M27" s="82"/>
      <c r="N27" s="82"/>
      <c r="O27" s="82"/>
      <c r="P27" s="82"/>
      <c r="Q27" s="82"/>
      <c r="R27" s="82"/>
      <c r="S27" s="80"/>
    </row>
    <row r="28" spans="1:26" ht="15.75" customHeight="1">
      <c r="G28" s="5"/>
    </row>
    <row r="29" spans="1:26" ht="15.75" customHeight="1">
      <c r="B29" s="113" t="s">
        <v>31</v>
      </c>
      <c r="C29" s="96"/>
      <c r="D29" s="96"/>
      <c r="E29" s="96"/>
      <c r="F29" s="96"/>
      <c r="G29" s="96"/>
      <c r="H29" s="96"/>
      <c r="I29" s="96"/>
      <c r="J29" s="96"/>
      <c r="K29" s="96"/>
      <c r="L29" s="96"/>
      <c r="M29" s="96"/>
      <c r="N29" s="96"/>
      <c r="O29" s="96"/>
      <c r="P29" s="96"/>
      <c r="Q29" s="96"/>
      <c r="R29" s="96"/>
      <c r="S29" s="96"/>
    </row>
    <row r="30" spans="1:26" ht="15.75" customHeight="1">
      <c r="B30" s="9" t="s">
        <v>18</v>
      </c>
      <c r="C30" s="199" t="s">
        <v>32</v>
      </c>
      <c r="D30" s="82"/>
      <c r="E30" s="82"/>
      <c r="F30" s="82"/>
      <c r="G30" s="82"/>
      <c r="H30" s="82"/>
      <c r="I30" s="82"/>
      <c r="J30" s="82"/>
      <c r="K30" s="80"/>
      <c r="L30" s="199" t="s">
        <v>33</v>
      </c>
      <c r="M30" s="82"/>
      <c r="N30" s="82"/>
      <c r="O30" s="82"/>
      <c r="P30" s="82"/>
      <c r="Q30" s="82"/>
      <c r="R30" s="82"/>
      <c r="S30" s="80"/>
    </row>
    <row r="31" spans="1:26" ht="15.75" customHeight="1">
      <c r="B31" s="10">
        <v>1</v>
      </c>
      <c r="C31" s="200"/>
      <c r="D31" s="82"/>
      <c r="E31" s="82"/>
      <c r="F31" s="82"/>
      <c r="G31" s="82"/>
      <c r="H31" s="82"/>
      <c r="I31" s="82"/>
      <c r="J31" s="82"/>
      <c r="K31" s="80"/>
      <c r="L31" s="201"/>
      <c r="M31" s="82"/>
      <c r="N31" s="82"/>
      <c r="O31" s="82"/>
      <c r="P31" s="82"/>
      <c r="Q31" s="82"/>
      <c r="R31" s="82"/>
      <c r="S31" s="80"/>
    </row>
    <row r="32" spans="1:26" ht="15.75" customHeight="1">
      <c r="B32" s="10">
        <v>2</v>
      </c>
      <c r="C32" s="198"/>
      <c r="D32" s="82"/>
      <c r="E32" s="82"/>
      <c r="F32" s="82"/>
      <c r="G32" s="82"/>
      <c r="H32" s="82"/>
      <c r="I32" s="82"/>
      <c r="J32" s="82"/>
      <c r="K32" s="80"/>
      <c r="L32" s="198"/>
      <c r="M32" s="82"/>
      <c r="N32" s="82"/>
      <c r="O32" s="82"/>
      <c r="P32" s="82"/>
      <c r="Q32" s="82"/>
      <c r="R32" s="82"/>
      <c r="S32" s="80"/>
    </row>
    <row r="33" spans="2:19" ht="16.5" customHeight="1">
      <c r="B33" s="10">
        <v>3</v>
      </c>
      <c r="C33" s="200"/>
      <c r="D33" s="82"/>
      <c r="E33" s="82"/>
      <c r="F33" s="82"/>
      <c r="G33" s="82"/>
      <c r="H33" s="82"/>
      <c r="I33" s="82"/>
      <c r="J33" s="82"/>
      <c r="K33" s="80"/>
      <c r="L33" s="183"/>
      <c r="M33" s="82"/>
      <c r="N33" s="82"/>
      <c r="O33" s="82"/>
      <c r="P33" s="82"/>
      <c r="Q33" s="82"/>
      <c r="R33" s="82"/>
      <c r="S33" s="80"/>
    </row>
    <row r="34" spans="2:19" ht="15.75" customHeight="1"/>
    <row r="35" spans="2:19" ht="28.5" customHeight="1">
      <c r="B35" s="156" t="s">
        <v>36</v>
      </c>
      <c r="C35" s="82"/>
      <c r="D35" s="82"/>
      <c r="E35" s="82"/>
      <c r="F35" s="82"/>
      <c r="G35" s="82"/>
      <c r="H35" s="82"/>
      <c r="I35" s="82"/>
      <c r="J35" s="82"/>
      <c r="K35" s="82"/>
      <c r="L35" s="82"/>
      <c r="M35" s="82"/>
      <c r="N35" s="82"/>
      <c r="O35" s="82"/>
      <c r="P35" s="82"/>
      <c r="Q35" s="82"/>
      <c r="R35" s="82"/>
      <c r="S35" s="80"/>
    </row>
    <row r="36" spans="2:19" ht="38.25" customHeight="1">
      <c r="B36" s="183"/>
      <c r="C36" s="82"/>
      <c r="D36" s="82"/>
      <c r="E36" s="82"/>
      <c r="F36" s="82"/>
      <c r="G36" s="82"/>
      <c r="H36" s="82"/>
      <c r="I36" s="82"/>
      <c r="J36" s="82"/>
      <c r="K36" s="82"/>
      <c r="L36" s="82"/>
      <c r="M36" s="82"/>
      <c r="N36" s="82"/>
      <c r="O36" s="82"/>
      <c r="P36" s="82"/>
      <c r="Q36" s="82"/>
      <c r="R36" s="82"/>
      <c r="S36" s="80"/>
    </row>
    <row r="38" spans="2:19" ht="15.75" customHeight="1">
      <c r="B38" s="158" t="s">
        <v>37</v>
      </c>
      <c r="C38" s="107"/>
      <c r="D38" s="107"/>
      <c r="E38" s="107"/>
      <c r="F38" s="107"/>
      <c r="G38" s="107"/>
      <c r="H38" s="107"/>
      <c r="I38" s="107"/>
      <c r="J38" s="107"/>
      <c r="K38" s="107"/>
      <c r="L38" s="107"/>
      <c r="M38" s="107"/>
      <c r="N38" s="107"/>
      <c r="O38" s="107"/>
      <c r="P38" s="107"/>
      <c r="Q38" s="107"/>
      <c r="R38" s="107"/>
      <c r="S38" s="107"/>
    </row>
    <row r="39" spans="2:19" ht="19.5" customHeight="1">
      <c r="B39" s="159" t="s">
        <v>38</v>
      </c>
      <c r="C39" s="160"/>
      <c r="D39" s="159" t="s">
        <v>39</v>
      </c>
      <c r="E39" s="93"/>
      <c r="F39" s="94"/>
      <c r="G39" s="105" t="s">
        <v>19</v>
      </c>
      <c r="H39" s="94"/>
      <c r="I39" s="109" t="s">
        <v>40</v>
      </c>
      <c r="J39" s="82"/>
      <c r="K39" s="82"/>
      <c r="L39" s="82"/>
      <c r="M39" s="82"/>
      <c r="N39" s="82"/>
      <c r="O39" s="82"/>
      <c r="P39" s="82"/>
      <c r="Q39" s="82"/>
      <c r="R39" s="80"/>
      <c r="S39" s="162" t="s">
        <v>111</v>
      </c>
    </row>
    <row r="40" spans="2:19" ht="40.5" customHeight="1">
      <c r="B40" s="106"/>
      <c r="C40" s="78"/>
      <c r="D40" s="106"/>
      <c r="E40" s="107"/>
      <c r="F40" s="108"/>
      <c r="G40" s="106"/>
      <c r="H40" s="108"/>
      <c r="I40" s="120" t="s">
        <v>42</v>
      </c>
      <c r="J40" s="82"/>
      <c r="K40" s="82"/>
      <c r="L40" s="82"/>
      <c r="M40" s="82"/>
      <c r="N40" s="82"/>
      <c r="O40" s="82"/>
      <c r="P40" s="80"/>
      <c r="Q40" s="121" t="s">
        <v>43</v>
      </c>
      <c r="R40" s="80"/>
      <c r="S40" s="163"/>
    </row>
    <row r="41" spans="2:19" ht="46.5" customHeight="1">
      <c r="B41" s="106"/>
      <c r="C41" s="78"/>
      <c r="D41" s="106"/>
      <c r="E41" s="107"/>
      <c r="F41" s="108"/>
      <c r="G41" s="106"/>
      <c r="H41" s="108"/>
      <c r="I41" s="171" t="s">
        <v>44</v>
      </c>
      <c r="J41" s="82"/>
      <c r="K41" s="82"/>
      <c r="L41" s="80"/>
      <c r="M41" s="172" t="s">
        <v>45</v>
      </c>
      <c r="N41" s="82"/>
      <c r="O41" s="82"/>
      <c r="P41" s="80"/>
      <c r="Q41" s="173" t="s">
        <v>46</v>
      </c>
      <c r="R41" s="155" t="s">
        <v>47</v>
      </c>
      <c r="S41" s="163"/>
    </row>
    <row r="42" spans="2:19" ht="15.75" customHeight="1">
      <c r="B42" s="95"/>
      <c r="C42" s="161"/>
      <c r="D42" s="95"/>
      <c r="E42" s="96"/>
      <c r="F42" s="97"/>
      <c r="G42" s="95"/>
      <c r="H42" s="97"/>
      <c r="I42" s="11" t="s">
        <v>48</v>
      </c>
      <c r="J42" s="11" t="s">
        <v>49</v>
      </c>
      <c r="K42" s="11" t="s">
        <v>50</v>
      </c>
      <c r="L42" s="11" t="s">
        <v>51</v>
      </c>
      <c r="M42" s="11" t="s">
        <v>48</v>
      </c>
      <c r="N42" s="11" t="s">
        <v>49</v>
      </c>
      <c r="O42" s="11" t="s">
        <v>50</v>
      </c>
      <c r="P42" s="11" t="s">
        <v>51</v>
      </c>
      <c r="Q42" s="102"/>
      <c r="R42" s="102"/>
      <c r="S42" s="102"/>
    </row>
    <row r="43" spans="2:19" ht="19.5" customHeight="1">
      <c r="B43" s="202" t="s">
        <v>52</v>
      </c>
      <c r="C43" s="80"/>
      <c r="D43" s="202"/>
      <c r="E43" s="82"/>
      <c r="F43" s="80"/>
      <c r="G43" s="202"/>
      <c r="H43" s="80"/>
      <c r="I43" s="51"/>
      <c r="J43" s="51"/>
      <c r="K43" s="52"/>
      <c r="L43" s="52"/>
      <c r="M43" s="52">
        <v>3</v>
      </c>
      <c r="N43" s="52"/>
      <c r="O43" s="52"/>
      <c r="P43" s="52"/>
      <c r="Q43" s="51">
        <v>5</v>
      </c>
      <c r="R43" s="51">
        <v>5</v>
      </c>
      <c r="S43" s="51">
        <f t="shared" ref="S43:S57" si="0">SUM(I43:R43)</f>
        <v>13</v>
      </c>
    </row>
    <row r="44" spans="2:19" ht="19.5" customHeight="1">
      <c r="B44" s="202" t="s">
        <v>53</v>
      </c>
      <c r="C44" s="80"/>
      <c r="D44" s="202"/>
      <c r="E44" s="82"/>
      <c r="F44" s="80"/>
      <c r="G44" s="202"/>
      <c r="H44" s="80"/>
      <c r="I44" s="51"/>
      <c r="J44" s="51"/>
      <c r="K44" s="52"/>
      <c r="L44" s="52"/>
      <c r="M44" s="52">
        <v>3</v>
      </c>
      <c r="N44" s="52"/>
      <c r="O44" s="52"/>
      <c r="P44" s="52"/>
      <c r="Q44" s="51"/>
      <c r="R44" s="51"/>
      <c r="S44" s="51">
        <f t="shared" si="0"/>
        <v>3</v>
      </c>
    </row>
    <row r="45" spans="2:19" ht="19.5" customHeight="1">
      <c r="B45" s="202" t="s">
        <v>112</v>
      </c>
      <c r="C45" s="80"/>
      <c r="D45" s="202"/>
      <c r="E45" s="82"/>
      <c r="F45" s="80"/>
      <c r="G45" s="202"/>
      <c r="H45" s="80"/>
      <c r="I45" s="51">
        <v>2</v>
      </c>
      <c r="J45" s="51"/>
      <c r="K45" s="52">
        <v>1</v>
      </c>
      <c r="L45" s="52"/>
      <c r="M45" s="52"/>
      <c r="N45" s="52"/>
      <c r="O45" s="52"/>
      <c r="P45" s="52"/>
      <c r="Q45" s="51">
        <v>5</v>
      </c>
      <c r="R45" s="51">
        <v>5</v>
      </c>
      <c r="S45" s="51">
        <f t="shared" si="0"/>
        <v>13</v>
      </c>
    </row>
    <row r="46" spans="2:19" ht="19.5" customHeight="1">
      <c r="B46" s="202" t="s">
        <v>54</v>
      </c>
      <c r="C46" s="80"/>
      <c r="D46" s="202"/>
      <c r="E46" s="82"/>
      <c r="F46" s="80"/>
      <c r="G46" s="202"/>
      <c r="H46" s="80"/>
      <c r="I46" s="51">
        <v>2</v>
      </c>
      <c r="J46" s="51"/>
      <c r="K46" s="52">
        <v>1</v>
      </c>
      <c r="L46" s="52"/>
      <c r="M46" s="52"/>
      <c r="N46" s="52"/>
      <c r="O46" s="52"/>
      <c r="P46" s="52"/>
      <c r="Q46" s="51"/>
      <c r="R46" s="51"/>
      <c r="S46" s="51">
        <f t="shared" si="0"/>
        <v>3</v>
      </c>
    </row>
    <row r="47" spans="2:19" ht="19.5" customHeight="1">
      <c r="B47" s="202" t="s">
        <v>55</v>
      </c>
      <c r="C47" s="80"/>
      <c r="D47" s="202"/>
      <c r="E47" s="82"/>
      <c r="F47" s="80"/>
      <c r="G47" s="202"/>
      <c r="H47" s="80"/>
      <c r="I47" s="51"/>
      <c r="J47" s="51"/>
      <c r="K47" s="52"/>
      <c r="L47" s="52"/>
      <c r="M47" s="52">
        <v>3</v>
      </c>
      <c r="N47" s="52"/>
      <c r="O47" s="52"/>
      <c r="P47" s="52"/>
      <c r="Q47" s="51">
        <v>5</v>
      </c>
      <c r="R47" s="51">
        <v>5</v>
      </c>
      <c r="S47" s="51">
        <f t="shared" si="0"/>
        <v>13</v>
      </c>
    </row>
    <row r="48" spans="2:19" ht="19.5" customHeight="1">
      <c r="B48" s="202" t="s">
        <v>56</v>
      </c>
      <c r="C48" s="80"/>
      <c r="D48" s="202"/>
      <c r="E48" s="82"/>
      <c r="F48" s="80"/>
      <c r="G48" s="202"/>
      <c r="H48" s="80"/>
      <c r="I48" s="51">
        <v>3</v>
      </c>
      <c r="J48" s="51"/>
      <c r="K48" s="52"/>
      <c r="L48" s="52"/>
      <c r="M48" s="52"/>
      <c r="N48" s="52"/>
      <c r="O48" s="52"/>
      <c r="P48" s="52"/>
      <c r="Q48" s="51"/>
      <c r="R48" s="51"/>
      <c r="S48" s="51">
        <f t="shared" si="0"/>
        <v>3</v>
      </c>
    </row>
    <row r="49" spans="2:19" ht="19.5" customHeight="1">
      <c r="B49" s="202" t="s">
        <v>57</v>
      </c>
      <c r="C49" s="80"/>
      <c r="D49" s="202"/>
      <c r="E49" s="82"/>
      <c r="F49" s="80"/>
      <c r="G49" s="202"/>
      <c r="H49" s="80"/>
      <c r="I49" s="51">
        <v>3</v>
      </c>
      <c r="J49" s="51"/>
      <c r="K49" s="52"/>
      <c r="L49" s="52"/>
      <c r="M49" s="52"/>
      <c r="N49" s="52"/>
      <c r="O49" s="52"/>
      <c r="P49" s="52"/>
      <c r="Q49" s="51"/>
      <c r="R49" s="51">
        <v>10</v>
      </c>
      <c r="S49" s="51">
        <f t="shared" si="0"/>
        <v>13</v>
      </c>
    </row>
    <row r="50" spans="2:19" ht="19.5" customHeight="1">
      <c r="B50" s="202" t="s">
        <v>58</v>
      </c>
      <c r="C50" s="80"/>
      <c r="D50" s="202"/>
      <c r="E50" s="82"/>
      <c r="F50" s="80"/>
      <c r="G50" s="202"/>
      <c r="H50" s="80"/>
      <c r="I50" s="51">
        <v>3</v>
      </c>
      <c r="J50" s="51"/>
      <c r="K50" s="52"/>
      <c r="L50" s="52"/>
      <c r="M50" s="52"/>
      <c r="N50" s="52"/>
      <c r="O50" s="52"/>
      <c r="P50" s="52"/>
      <c r="Q50" s="51"/>
      <c r="R50" s="51">
        <v>10</v>
      </c>
      <c r="S50" s="51">
        <f t="shared" si="0"/>
        <v>13</v>
      </c>
    </row>
    <row r="51" spans="2:19" ht="19.5" customHeight="1">
      <c r="B51" s="202" t="s">
        <v>60</v>
      </c>
      <c r="C51" s="80"/>
      <c r="D51" s="202"/>
      <c r="E51" s="82"/>
      <c r="F51" s="80"/>
      <c r="G51" s="202"/>
      <c r="H51" s="80"/>
      <c r="I51" s="51">
        <v>3</v>
      </c>
      <c r="J51" s="51"/>
      <c r="K51" s="52"/>
      <c r="L51" s="52"/>
      <c r="M51" s="52"/>
      <c r="N51" s="52"/>
      <c r="O51" s="52"/>
      <c r="P51" s="52"/>
      <c r="Q51" s="51"/>
      <c r="R51" s="51"/>
      <c r="S51" s="51">
        <f t="shared" si="0"/>
        <v>3</v>
      </c>
    </row>
    <row r="52" spans="2:19" ht="19.5" customHeight="1">
      <c r="B52" s="202" t="s">
        <v>61</v>
      </c>
      <c r="C52" s="80"/>
      <c r="D52" s="202"/>
      <c r="E52" s="82"/>
      <c r="F52" s="80"/>
      <c r="G52" s="202"/>
      <c r="H52" s="80"/>
      <c r="I52" s="51">
        <v>3</v>
      </c>
      <c r="J52" s="51"/>
      <c r="K52" s="52"/>
      <c r="L52" s="52"/>
      <c r="M52" s="52"/>
      <c r="N52" s="52"/>
      <c r="O52" s="52"/>
      <c r="P52" s="52"/>
      <c r="Q52" s="51"/>
      <c r="R52" s="51"/>
      <c r="S52" s="51">
        <f t="shared" si="0"/>
        <v>3</v>
      </c>
    </row>
    <row r="53" spans="2:19" ht="19.5" customHeight="1">
      <c r="B53" s="202" t="s">
        <v>62</v>
      </c>
      <c r="C53" s="80"/>
      <c r="D53" s="202"/>
      <c r="E53" s="82"/>
      <c r="F53" s="80"/>
      <c r="G53" s="202"/>
      <c r="H53" s="80"/>
      <c r="I53" s="51">
        <v>3</v>
      </c>
      <c r="J53" s="51"/>
      <c r="K53" s="52"/>
      <c r="L53" s="52"/>
      <c r="M53" s="52"/>
      <c r="N53" s="52"/>
      <c r="O53" s="52"/>
      <c r="P53" s="52"/>
      <c r="Q53" s="51"/>
      <c r="R53" s="51"/>
      <c r="S53" s="51">
        <f t="shared" si="0"/>
        <v>3</v>
      </c>
    </row>
    <row r="54" spans="2:19" ht="19.5" customHeight="1">
      <c r="B54" s="202" t="s">
        <v>63</v>
      </c>
      <c r="C54" s="80"/>
      <c r="D54" s="202"/>
      <c r="E54" s="82"/>
      <c r="F54" s="80"/>
      <c r="G54" s="202"/>
      <c r="H54" s="80"/>
      <c r="I54" s="51">
        <v>3</v>
      </c>
      <c r="J54" s="51"/>
      <c r="K54" s="52"/>
      <c r="L54" s="52"/>
      <c r="M54" s="52"/>
      <c r="N54" s="52"/>
      <c r="O54" s="52"/>
      <c r="P54" s="52"/>
      <c r="Q54" s="51"/>
      <c r="R54" s="51"/>
      <c r="S54" s="51">
        <f t="shared" si="0"/>
        <v>3</v>
      </c>
    </row>
    <row r="55" spans="2:19" ht="19.5" customHeight="1">
      <c r="B55" s="202" t="s">
        <v>64</v>
      </c>
      <c r="C55" s="80"/>
      <c r="D55" s="202"/>
      <c r="E55" s="82"/>
      <c r="F55" s="80"/>
      <c r="G55" s="202"/>
      <c r="H55" s="80"/>
      <c r="I55" s="51">
        <v>3</v>
      </c>
      <c r="J55" s="51"/>
      <c r="K55" s="52"/>
      <c r="L55" s="52"/>
      <c r="M55" s="52"/>
      <c r="N55" s="52"/>
      <c r="O55" s="52"/>
      <c r="P55" s="52"/>
      <c r="Q55" s="51"/>
      <c r="R55" s="51"/>
      <c r="S55" s="51">
        <f t="shared" si="0"/>
        <v>3</v>
      </c>
    </row>
    <row r="56" spans="2:19" ht="19.5" customHeight="1">
      <c r="B56" s="202" t="s">
        <v>65</v>
      </c>
      <c r="C56" s="80"/>
      <c r="D56" s="202"/>
      <c r="E56" s="82"/>
      <c r="F56" s="80"/>
      <c r="G56" s="202"/>
      <c r="H56" s="80"/>
      <c r="I56" s="51">
        <v>3</v>
      </c>
      <c r="J56" s="51"/>
      <c r="K56" s="52"/>
      <c r="L56" s="52"/>
      <c r="M56" s="52"/>
      <c r="N56" s="52"/>
      <c r="O56" s="52"/>
      <c r="P56" s="52"/>
      <c r="Q56" s="51"/>
      <c r="R56" s="51"/>
      <c r="S56" s="51">
        <f t="shared" si="0"/>
        <v>3</v>
      </c>
    </row>
    <row r="57" spans="2:19" ht="19.5" customHeight="1">
      <c r="B57" s="202" t="s">
        <v>66</v>
      </c>
      <c r="C57" s="80"/>
      <c r="D57" s="202"/>
      <c r="E57" s="82"/>
      <c r="F57" s="80"/>
      <c r="G57" s="202"/>
      <c r="H57" s="80"/>
      <c r="I57" s="51"/>
      <c r="J57" s="51"/>
      <c r="K57" s="52"/>
      <c r="L57" s="52"/>
      <c r="M57" s="52"/>
      <c r="N57" s="52"/>
      <c r="O57" s="52"/>
      <c r="P57" s="53"/>
      <c r="Q57" s="51"/>
      <c r="R57" s="51"/>
      <c r="S57" s="51">
        <f t="shared" si="0"/>
        <v>0</v>
      </c>
    </row>
    <row r="58" spans="2:19" ht="15.75" customHeight="1">
      <c r="B58" s="5"/>
      <c r="C58" s="5"/>
      <c r="D58" s="5"/>
      <c r="E58" s="5"/>
      <c r="F58" s="5"/>
      <c r="G58" s="5"/>
      <c r="H58" s="5"/>
      <c r="I58" s="5"/>
      <c r="J58" s="5"/>
      <c r="K58" s="5"/>
      <c r="L58" s="5"/>
      <c r="M58" s="5"/>
      <c r="N58" s="5"/>
      <c r="O58" s="5"/>
      <c r="P58" s="5"/>
      <c r="Q58" s="91" t="s">
        <v>73</v>
      </c>
      <c r="R58" s="80"/>
      <c r="S58" s="23">
        <f>SUM(S43:S57)</f>
        <v>92</v>
      </c>
    </row>
    <row r="59" spans="2:19" ht="15.75" customHeight="1">
      <c r="B59" s="5"/>
      <c r="C59" s="5"/>
      <c r="D59" s="5"/>
      <c r="E59" s="5"/>
      <c r="F59" s="5"/>
      <c r="G59" s="5"/>
      <c r="H59" s="5"/>
      <c r="I59" s="5"/>
      <c r="J59" s="5"/>
      <c r="K59" s="5"/>
      <c r="L59" s="5"/>
      <c r="M59" s="5"/>
      <c r="N59" s="5"/>
      <c r="O59" s="5"/>
      <c r="P59" s="5"/>
      <c r="Q59" s="17"/>
      <c r="R59" s="17"/>
      <c r="S59" s="18"/>
    </row>
    <row r="60" spans="2:19" ht="64.5" customHeight="1">
      <c r="B60" s="105" t="s">
        <v>68</v>
      </c>
      <c r="C60" s="93"/>
      <c r="D60" s="93"/>
      <c r="E60" s="93"/>
      <c r="F60" s="93"/>
      <c r="G60" s="93"/>
      <c r="H60" s="94"/>
      <c r="I60" s="105" t="s">
        <v>69</v>
      </c>
      <c r="J60" s="94"/>
      <c r="K60" s="109" t="s">
        <v>42</v>
      </c>
      <c r="L60" s="82"/>
      <c r="M60" s="82"/>
      <c r="N60" s="82"/>
      <c r="O60" s="82"/>
      <c r="P60" s="80"/>
      <c r="Q60" s="110" t="s">
        <v>70</v>
      </c>
      <c r="R60" s="80"/>
      <c r="S60" s="162" t="s">
        <v>71</v>
      </c>
    </row>
    <row r="61" spans="2:19" ht="36" customHeight="1">
      <c r="B61" s="106"/>
      <c r="C61" s="107"/>
      <c r="D61" s="107"/>
      <c r="E61" s="107"/>
      <c r="F61" s="107"/>
      <c r="G61" s="107"/>
      <c r="H61" s="108"/>
      <c r="I61" s="106"/>
      <c r="J61" s="108"/>
      <c r="K61" s="111" t="s">
        <v>44</v>
      </c>
      <c r="L61" s="93"/>
      <c r="M61" s="160"/>
      <c r="N61" s="92" t="s">
        <v>72</v>
      </c>
      <c r="O61" s="93"/>
      <c r="P61" s="94"/>
      <c r="Q61" s="101" t="s">
        <v>46</v>
      </c>
      <c r="R61" s="103" t="s">
        <v>47</v>
      </c>
      <c r="S61" s="163"/>
    </row>
    <row r="62" spans="2:19" ht="35.25" customHeight="1">
      <c r="B62" s="95"/>
      <c r="C62" s="96"/>
      <c r="D62" s="96"/>
      <c r="E62" s="96"/>
      <c r="F62" s="96"/>
      <c r="G62" s="96"/>
      <c r="H62" s="97"/>
      <c r="I62" s="95"/>
      <c r="J62" s="97"/>
      <c r="K62" s="95"/>
      <c r="L62" s="96"/>
      <c r="M62" s="161"/>
      <c r="N62" s="95"/>
      <c r="O62" s="96"/>
      <c r="P62" s="97"/>
      <c r="Q62" s="102"/>
      <c r="R62" s="104"/>
      <c r="S62" s="102"/>
    </row>
    <row r="63" spans="2:19" ht="18.75" customHeight="1">
      <c r="B63" s="19">
        <v>1</v>
      </c>
      <c r="C63" s="132" t="s">
        <v>113</v>
      </c>
      <c r="D63" s="82"/>
      <c r="E63" s="82"/>
      <c r="F63" s="82"/>
      <c r="G63" s="82"/>
      <c r="H63" s="80"/>
      <c r="I63" s="202">
        <v>10</v>
      </c>
      <c r="J63" s="80"/>
      <c r="K63" s="198">
        <v>0</v>
      </c>
      <c r="L63" s="82"/>
      <c r="M63" s="80"/>
      <c r="N63" s="198">
        <v>1</v>
      </c>
      <c r="O63" s="82"/>
      <c r="P63" s="80"/>
      <c r="Q63" s="20">
        <v>3</v>
      </c>
      <c r="R63" s="20"/>
      <c r="S63" s="21">
        <f t="shared" ref="S63:S67" si="1">SUM(K63:R63)</f>
        <v>4</v>
      </c>
    </row>
    <row r="64" spans="2:19" ht="18.75" customHeight="1">
      <c r="B64" s="19">
        <v>2</v>
      </c>
      <c r="C64" s="132" t="s">
        <v>114</v>
      </c>
      <c r="D64" s="82"/>
      <c r="E64" s="82"/>
      <c r="F64" s="82"/>
      <c r="G64" s="82"/>
      <c r="H64" s="80"/>
      <c r="I64" s="202">
        <v>25</v>
      </c>
      <c r="J64" s="80"/>
      <c r="K64" s="198"/>
      <c r="L64" s="82"/>
      <c r="M64" s="80"/>
      <c r="N64" s="198"/>
      <c r="O64" s="82"/>
      <c r="P64" s="80"/>
      <c r="Q64" s="20">
        <v>5</v>
      </c>
      <c r="R64" s="20"/>
      <c r="S64" s="21">
        <f t="shared" si="1"/>
        <v>5</v>
      </c>
    </row>
    <row r="65" spans="2:19" ht="18.75" customHeight="1">
      <c r="B65" s="19">
        <v>3</v>
      </c>
      <c r="C65" s="132" t="s">
        <v>115</v>
      </c>
      <c r="D65" s="82"/>
      <c r="E65" s="82"/>
      <c r="F65" s="82"/>
      <c r="G65" s="82"/>
      <c r="H65" s="80"/>
      <c r="I65" s="202">
        <v>25</v>
      </c>
      <c r="J65" s="80"/>
      <c r="K65" s="198"/>
      <c r="L65" s="82"/>
      <c r="M65" s="80"/>
      <c r="N65" s="198"/>
      <c r="O65" s="82"/>
      <c r="P65" s="80"/>
      <c r="Q65" s="20">
        <v>10</v>
      </c>
      <c r="R65" s="20"/>
      <c r="S65" s="21">
        <f t="shared" si="1"/>
        <v>10</v>
      </c>
    </row>
    <row r="66" spans="2:19" ht="18.75" customHeight="1">
      <c r="B66" s="19">
        <v>4</v>
      </c>
      <c r="C66" s="132"/>
      <c r="D66" s="82"/>
      <c r="E66" s="82"/>
      <c r="F66" s="82"/>
      <c r="G66" s="82"/>
      <c r="H66" s="80"/>
      <c r="I66" s="202"/>
      <c r="J66" s="80"/>
      <c r="K66" s="198"/>
      <c r="L66" s="82"/>
      <c r="M66" s="80"/>
      <c r="N66" s="198"/>
      <c r="O66" s="82"/>
      <c r="P66" s="80"/>
      <c r="Q66" s="20"/>
      <c r="R66" s="20"/>
      <c r="S66" s="21">
        <f t="shared" si="1"/>
        <v>0</v>
      </c>
    </row>
    <row r="67" spans="2:19" ht="18.75" customHeight="1">
      <c r="B67" s="19">
        <v>5</v>
      </c>
      <c r="C67" s="132"/>
      <c r="D67" s="82"/>
      <c r="E67" s="82"/>
      <c r="F67" s="82"/>
      <c r="G67" s="82"/>
      <c r="H67" s="80"/>
      <c r="I67" s="202"/>
      <c r="J67" s="80"/>
      <c r="K67" s="198"/>
      <c r="L67" s="82"/>
      <c r="M67" s="80"/>
      <c r="N67" s="198"/>
      <c r="O67" s="82"/>
      <c r="P67" s="80"/>
      <c r="Q67" s="20"/>
      <c r="R67" s="20"/>
      <c r="S67" s="21">
        <f t="shared" si="1"/>
        <v>0</v>
      </c>
    </row>
    <row r="68" spans="2:19" ht="18.75" customHeight="1">
      <c r="Q68" s="176" t="s">
        <v>73</v>
      </c>
      <c r="R68" s="80"/>
      <c r="S68" s="23">
        <f>SUM(S63:S67)</f>
        <v>19</v>
      </c>
    </row>
    <row r="69" spans="2:19" ht="18.75" customHeight="1">
      <c r="Q69" s="24"/>
      <c r="R69" s="24"/>
    </row>
    <row r="70" spans="2:19" ht="18.75" customHeight="1">
      <c r="Q70" s="24"/>
      <c r="R70" s="24"/>
    </row>
    <row r="71" spans="2:19" ht="33.75" customHeight="1">
      <c r="B71" s="105" t="s">
        <v>74</v>
      </c>
      <c r="C71" s="93"/>
      <c r="D71" s="93"/>
      <c r="E71" s="93"/>
      <c r="F71" s="93"/>
      <c r="G71" s="93"/>
      <c r="H71" s="94"/>
      <c r="I71" s="105" t="s">
        <v>69</v>
      </c>
      <c r="J71" s="94"/>
      <c r="K71" s="109" t="s">
        <v>42</v>
      </c>
      <c r="L71" s="82"/>
      <c r="M71" s="82"/>
      <c r="N71" s="82"/>
      <c r="O71" s="82"/>
      <c r="P71" s="80"/>
      <c r="Q71" s="177" t="s">
        <v>75</v>
      </c>
      <c r="R71" s="80"/>
      <c r="S71" s="178" t="s">
        <v>71</v>
      </c>
    </row>
    <row r="72" spans="2:19" ht="18.75" customHeight="1">
      <c r="B72" s="106"/>
      <c r="C72" s="107"/>
      <c r="D72" s="107"/>
      <c r="E72" s="107"/>
      <c r="F72" s="107"/>
      <c r="G72" s="107"/>
      <c r="H72" s="108"/>
      <c r="I72" s="106"/>
      <c r="J72" s="108"/>
      <c r="K72" s="111" t="s">
        <v>44</v>
      </c>
      <c r="L72" s="93"/>
      <c r="M72" s="94"/>
      <c r="N72" s="92" t="s">
        <v>72</v>
      </c>
      <c r="O72" s="93"/>
      <c r="P72" s="94"/>
      <c r="Q72" s="98" t="s">
        <v>46</v>
      </c>
      <c r="R72" s="181" t="s">
        <v>47</v>
      </c>
      <c r="S72" s="179"/>
    </row>
    <row r="73" spans="2:19" ht="48" customHeight="1">
      <c r="B73" s="95"/>
      <c r="C73" s="96"/>
      <c r="D73" s="96"/>
      <c r="E73" s="96"/>
      <c r="F73" s="96"/>
      <c r="G73" s="96"/>
      <c r="H73" s="97"/>
      <c r="I73" s="95"/>
      <c r="J73" s="97"/>
      <c r="K73" s="95"/>
      <c r="L73" s="96"/>
      <c r="M73" s="97"/>
      <c r="N73" s="95"/>
      <c r="O73" s="96"/>
      <c r="P73" s="97"/>
      <c r="Q73" s="99"/>
      <c r="R73" s="104"/>
      <c r="S73" s="180"/>
    </row>
    <row r="74" spans="2:19" ht="18.75" customHeight="1">
      <c r="B74" s="19">
        <v>1</v>
      </c>
      <c r="C74" s="200" t="s">
        <v>116</v>
      </c>
      <c r="D74" s="82"/>
      <c r="E74" s="82"/>
      <c r="F74" s="82"/>
      <c r="G74" s="82"/>
      <c r="H74" s="80"/>
      <c r="I74" s="202"/>
      <c r="J74" s="80"/>
      <c r="K74" s="198">
        <v>3</v>
      </c>
      <c r="L74" s="82"/>
      <c r="M74" s="80"/>
      <c r="N74" s="198"/>
      <c r="O74" s="82"/>
      <c r="P74" s="80"/>
      <c r="Q74" s="20">
        <v>6</v>
      </c>
      <c r="R74" s="20"/>
      <c r="S74" s="21">
        <f t="shared" ref="S74:S78" si="2">SUM(K74:R74)</f>
        <v>9</v>
      </c>
    </row>
    <row r="75" spans="2:19" ht="18.75" customHeight="1">
      <c r="B75" s="19">
        <v>2</v>
      </c>
      <c r="C75" s="200"/>
      <c r="D75" s="82"/>
      <c r="E75" s="82"/>
      <c r="F75" s="82"/>
      <c r="G75" s="82"/>
      <c r="H75" s="80"/>
      <c r="I75" s="202"/>
      <c r="J75" s="80"/>
      <c r="K75" s="198"/>
      <c r="L75" s="82"/>
      <c r="M75" s="80"/>
      <c r="N75" s="198"/>
      <c r="O75" s="82"/>
      <c r="P75" s="80"/>
      <c r="Q75" s="20"/>
      <c r="R75" s="20"/>
      <c r="S75" s="21">
        <f t="shared" si="2"/>
        <v>0</v>
      </c>
    </row>
    <row r="76" spans="2:19" ht="18.75" customHeight="1">
      <c r="B76" s="19">
        <v>3</v>
      </c>
      <c r="C76" s="200"/>
      <c r="D76" s="82"/>
      <c r="E76" s="82"/>
      <c r="F76" s="82"/>
      <c r="G76" s="82"/>
      <c r="H76" s="80"/>
      <c r="I76" s="202"/>
      <c r="J76" s="80"/>
      <c r="K76" s="198"/>
      <c r="L76" s="82"/>
      <c r="M76" s="80"/>
      <c r="N76" s="198"/>
      <c r="O76" s="82"/>
      <c r="P76" s="80"/>
      <c r="Q76" s="20"/>
      <c r="R76" s="20"/>
      <c r="S76" s="21">
        <f t="shared" si="2"/>
        <v>0</v>
      </c>
    </row>
    <row r="77" spans="2:19" ht="18.75" customHeight="1">
      <c r="B77" s="19">
        <v>4</v>
      </c>
      <c r="C77" s="200"/>
      <c r="D77" s="82"/>
      <c r="E77" s="82"/>
      <c r="F77" s="82"/>
      <c r="G77" s="82"/>
      <c r="H77" s="80"/>
      <c r="I77" s="202"/>
      <c r="J77" s="80"/>
      <c r="K77" s="198"/>
      <c r="L77" s="82"/>
      <c r="M77" s="80"/>
      <c r="N77" s="198"/>
      <c r="O77" s="82"/>
      <c r="P77" s="80"/>
      <c r="Q77" s="20"/>
      <c r="R77" s="20"/>
      <c r="S77" s="21">
        <f t="shared" si="2"/>
        <v>0</v>
      </c>
    </row>
    <row r="78" spans="2:19" ht="18.75" customHeight="1">
      <c r="B78" s="19">
        <v>5</v>
      </c>
      <c r="C78" s="200"/>
      <c r="D78" s="82"/>
      <c r="E78" s="82"/>
      <c r="F78" s="82"/>
      <c r="G78" s="82"/>
      <c r="H78" s="80"/>
      <c r="I78" s="202"/>
      <c r="J78" s="80"/>
      <c r="K78" s="198"/>
      <c r="L78" s="82"/>
      <c r="M78" s="80"/>
      <c r="N78" s="198"/>
      <c r="O78" s="82"/>
      <c r="P78" s="80"/>
      <c r="Q78" s="20"/>
      <c r="R78" s="20"/>
      <c r="S78" s="21">
        <f t="shared" si="2"/>
        <v>0</v>
      </c>
    </row>
    <row r="79" spans="2:19" ht="18.75" customHeight="1">
      <c r="Q79" s="174" t="s">
        <v>73</v>
      </c>
      <c r="R79" s="107"/>
      <c r="S79" s="1">
        <f>SUM(S74:S78)</f>
        <v>9</v>
      </c>
    </row>
    <row r="80" spans="2:19" ht="18.75" customHeight="1">
      <c r="Q80" s="175" t="s">
        <v>76</v>
      </c>
      <c r="R80" s="107"/>
      <c r="S80" s="1">
        <f>SUM(S74:S78)+SUM(S63:S67)</f>
        <v>28</v>
      </c>
    </row>
    <row r="81" spans="1:19" ht="18.75" customHeight="1">
      <c r="Q81" s="24" t="s">
        <v>77</v>
      </c>
      <c r="R81" s="24"/>
      <c r="S81" s="1">
        <f>S79+S68+S58</f>
        <v>120</v>
      </c>
    </row>
    <row r="82" spans="1:19" ht="54.75" customHeight="1">
      <c r="B82" s="16" t="s">
        <v>26</v>
      </c>
      <c r="C82" s="189" t="s">
        <v>117</v>
      </c>
      <c r="D82" s="82"/>
      <c r="E82" s="82"/>
      <c r="F82" s="82"/>
      <c r="G82" s="82"/>
      <c r="H82" s="82"/>
      <c r="I82" s="82"/>
      <c r="J82" s="82"/>
      <c r="K82" s="82"/>
      <c r="L82" s="82"/>
      <c r="M82" s="82"/>
      <c r="N82" s="82"/>
      <c r="O82" s="82"/>
      <c r="P82" s="80"/>
      <c r="Q82" s="194">
        <f>(SUM(I43:L57)+SUM(K63:M67)+SUM(K74:M78))/(SUM(I43:R57)+SUM(K63:R67)+SUM(K74:R78))*100</f>
        <v>30</v>
      </c>
      <c r="R82" s="82"/>
      <c r="S82" s="80"/>
    </row>
    <row r="83" spans="1:19" ht="64.5" customHeight="1">
      <c r="B83" s="16" t="s">
        <v>79</v>
      </c>
      <c r="C83" s="189" t="s">
        <v>118</v>
      </c>
      <c r="D83" s="82"/>
      <c r="E83" s="82"/>
      <c r="F83" s="82"/>
      <c r="G83" s="82"/>
      <c r="H83" s="82"/>
      <c r="I83" s="82"/>
      <c r="J83" s="82"/>
      <c r="K83" s="82"/>
      <c r="L83" s="82"/>
      <c r="M83" s="82"/>
      <c r="N83" s="82"/>
      <c r="O83" s="82"/>
      <c r="P83" s="80"/>
      <c r="Q83" s="194">
        <f>(SUM(M43:P57)+SUM(N63:P67)+SUM(N74:P78)+SUM(Q43:R57)+SUM(Q63:R67)+SUM(Q74:R78))/(SUM(I43:R57)+SUM(K63:R67)+SUM(K74:R78))*100</f>
        <v>70</v>
      </c>
      <c r="R83" s="82"/>
      <c r="S83" s="80"/>
    </row>
    <row r="84" spans="1:19" ht="64.5" customHeight="1">
      <c r="B84" s="16" t="s">
        <v>81</v>
      </c>
      <c r="C84" s="189" t="s">
        <v>119</v>
      </c>
      <c r="D84" s="82"/>
      <c r="E84" s="82"/>
      <c r="F84" s="82"/>
      <c r="G84" s="82"/>
      <c r="H84" s="82"/>
      <c r="I84" s="82"/>
      <c r="J84" s="82"/>
      <c r="K84" s="82"/>
      <c r="L84" s="82"/>
      <c r="M84" s="82"/>
      <c r="N84" s="82"/>
      <c r="O84" s="82"/>
      <c r="P84" s="80"/>
      <c r="Q84" s="194">
        <f>(SUM(M43:P57)+SUM(Q43:Q57)+SUM(N63:P67))/S81*100</f>
        <v>20.833333333333336</v>
      </c>
      <c r="R84" s="82"/>
      <c r="S84" s="80"/>
    </row>
    <row r="85" spans="1:19" ht="57" customHeight="1">
      <c r="B85" s="16" t="s">
        <v>83</v>
      </c>
      <c r="C85" s="189" t="s">
        <v>120</v>
      </c>
      <c r="D85" s="82"/>
      <c r="E85" s="82"/>
      <c r="F85" s="82"/>
      <c r="G85" s="82"/>
      <c r="H85" s="82"/>
      <c r="I85" s="82"/>
      <c r="J85" s="82"/>
      <c r="K85" s="82"/>
      <c r="L85" s="82"/>
      <c r="M85" s="82"/>
      <c r="N85" s="82"/>
      <c r="O85" s="82"/>
      <c r="P85" s="80"/>
      <c r="Q85" s="190">
        <f>Q86+Q87</f>
        <v>1.6666666666666667</v>
      </c>
      <c r="R85" s="82"/>
      <c r="S85" s="80"/>
    </row>
    <row r="86" spans="1:19" ht="46.5" customHeight="1">
      <c r="B86" s="16" t="s">
        <v>85</v>
      </c>
      <c r="C86" s="189" t="s">
        <v>121</v>
      </c>
      <c r="D86" s="82"/>
      <c r="E86" s="82"/>
      <c r="F86" s="82"/>
      <c r="G86" s="82"/>
      <c r="H86" s="82"/>
      <c r="I86" s="82"/>
      <c r="J86" s="82"/>
      <c r="K86" s="82"/>
      <c r="L86" s="82"/>
      <c r="M86" s="82"/>
      <c r="N86" s="82"/>
      <c r="O86" s="82"/>
      <c r="P86" s="80"/>
      <c r="Q86" s="190">
        <f>(SUM(K43:K57))/(SUM(I43:R57)+SUM(K63:R67)+SUM(K74:R78))*100</f>
        <v>1.6666666666666667</v>
      </c>
      <c r="R86" s="82"/>
      <c r="S86" s="80"/>
    </row>
    <row r="87" spans="1:19" ht="54" customHeight="1">
      <c r="B87" s="16" t="s">
        <v>87</v>
      </c>
      <c r="C87" s="189" t="s">
        <v>122</v>
      </c>
      <c r="D87" s="82"/>
      <c r="E87" s="82"/>
      <c r="F87" s="82"/>
      <c r="G87" s="82"/>
      <c r="H87" s="82"/>
      <c r="I87" s="82"/>
      <c r="J87" s="82"/>
      <c r="K87" s="82"/>
      <c r="L87" s="82"/>
      <c r="M87" s="82"/>
      <c r="N87" s="82"/>
      <c r="O87" s="82"/>
      <c r="P87" s="80"/>
      <c r="Q87" s="190">
        <f>(SUM(O43:O57))/(SUM(I43:R57)+SUM(K63:R67)+SUM(K74:R78))*100</f>
        <v>0</v>
      </c>
      <c r="R87" s="82"/>
      <c r="S87" s="80"/>
    </row>
    <row r="88" spans="1:19" ht="14.25" customHeight="1">
      <c r="B88" s="191" t="s">
        <v>89</v>
      </c>
      <c r="C88" s="93"/>
      <c r="D88" s="93"/>
      <c r="E88" s="93"/>
      <c r="F88" s="93"/>
      <c r="G88" s="93"/>
      <c r="H88" s="93"/>
      <c r="I88" s="93"/>
      <c r="J88" s="93"/>
      <c r="K88" s="93"/>
      <c r="L88" s="93"/>
      <c r="M88" s="93"/>
      <c r="N88" s="93"/>
      <c r="O88" s="93"/>
      <c r="P88" s="94"/>
      <c r="Q88" s="192"/>
      <c r="R88" s="93"/>
      <c r="S88" s="94"/>
    </row>
    <row r="89" spans="1:19" ht="109.5" customHeight="1">
      <c r="B89" s="95"/>
      <c r="C89" s="96"/>
      <c r="D89" s="96"/>
      <c r="E89" s="96"/>
      <c r="F89" s="96"/>
      <c r="G89" s="96"/>
      <c r="H89" s="96"/>
      <c r="I89" s="96"/>
      <c r="J89" s="96"/>
      <c r="K89" s="96"/>
      <c r="L89" s="96"/>
      <c r="M89" s="96"/>
      <c r="N89" s="96"/>
      <c r="O89" s="96"/>
      <c r="P89" s="97"/>
      <c r="Q89" s="95"/>
      <c r="R89" s="96"/>
      <c r="S89" s="97"/>
    </row>
    <row r="90" spans="1:19" ht="15.75" customHeight="1">
      <c r="B90" s="30"/>
      <c r="C90" s="30"/>
      <c r="D90" s="30"/>
      <c r="E90" s="30"/>
      <c r="F90" s="30"/>
      <c r="G90" s="30"/>
      <c r="H90" s="30"/>
      <c r="I90" s="30"/>
      <c r="J90" s="30"/>
      <c r="K90" s="30"/>
      <c r="L90" s="30"/>
      <c r="M90" s="30"/>
      <c r="N90" s="30"/>
      <c r="O90" s="30"/>
      <c r="P90" s="30"/>
      <c r="Q90" s="30"/>
      <c r="R90" s="30"/>
      <c r="S90" s="30"/>
    </row>
    <row r="91" spans="1:19" ht="30.75" customHeight="1">
      <c r="B91" s="184" t="s">
        <v>123</v>
      </c>
      <c r="C91" s="82"/>
      <c r="D91" s="82"/>
      <c r="E91" s="82"/>
      <c r="F91" s="82"/>
      <c r="G91" s="82"/>
      <c r="H91" s="82"/>
      <c r="I91" s="82"/>
      <c r="J91" s="82"/>
      <c r="K91" s="82"/>
      <c r="L91" s="82"/>
      <c r="M91" s="82"/>
      <c r="N91" s="82"/>
      <c r="O91" s="82"/>
      <c r="P91" s="82"/>
      <c r="Q91" s="82"/>
      <c r="R91" s="82"/>
      <c r="S91" s="80"/>
    </row>
    <row r="92" spans="1:19" ht="20.25" customHeight="1">
      <c r="A92" s="5"/>
      <c r="B92" s="146"/>
      <c r="C92" s="82"/>
      <c r="D92" s="82"/>
      <c r="E92" s="82"/>
      <c r="F92" s="82"/>
      <c r="G92" s="82"/>
      <c r="H92" s="82"/>
      <c r="I92" s="82"/>
      <c r="J92" s="82"/>
      <c r="K92" s="82"/>
      <c r="L92" s="82"/>
      <c r="M92" s="82"/>
      <c r="N92" s="82"/>
      <c r="O92" s="82"/>
      <c r="P92" s="82"/>
      <c r="Q92" s="82"/>
      <c r="R92" s="82"/>
      <c r="S92" s="80"/>
    </row>
    <row r="93" spans="1:19" ht="20.25" customHeight="1">
      <c r="A93" s="5"/>
      <c r="B93" s="31"/>
      <c r="C93" s="31"/>
      <c r="D93" s="31"/>
      <c r="E93" s="31"/>
      <c r="F93" s="31"/>
      <c r="G93" s="31"/>
      <c r="H93" s="31"/>
      <c r="I93" s="31"/>
      <c r="J93" s="31"/>
      <c r="K93" s="31"/>
      <c r="L93" s="31"/>
      <c r="M93" s="31"/>
      <c r="N93" s="31"/>
      <c r="O93" s="31"/>
      <c r="P93" s="31"/>
      <c r="Q93" s="31"/>
      <c r="R93" s="31"/>
      <c r="S93" s="31"/>
    </row>
    <row r="94" spans="1:19" ht="18" customHeight="1">
      <c r="A94" s="5"/>
      <c r="B94" s="185"/>
      <c r="C94" s="107"/>
      <c r="D94" s="107"/>
      <c r="E94" s="107"/>
      <c r="F94" s="107"/>
      <c r="G94" s="107"/>
      <c r="H94" s="107"/>
      <c r="I94" s="107"/>
      <c r="J94" s="107"/>
      <c r="K94" s="107"/>
      <c r="L94" s="107"/>
      <c r="M94" s="107"/>
      <c r="N94" s="107"/>
      <c r="O94" s="107"/>
      <c r="P94" s="107"/>
      <c r="Q94" s="107"/>
      <c r="R94" s="107"/>
      <c r="S94" s="107"/>
    </row>
    <row r="95" spans="1:19" ht="19.5" customHeight="1">
      <c r="B95" s="184" t="s">
        <v>91</v>
      </c>
      <c r="C95" s="82"/>
      <c r="D95" s="82"/>
      <c r="E95" s="82"/>
      <c r="F95" s="82"/>
      <c r="G95" s="82"/>
      <c r="H95" s="82"/>
      <c r="I95" s="82"/>
      <c r="J95" s="82"/>
      <c r="K95" s="82"/>
      <c r="L95" s="82"/>
      <c r="M95" s="82"/>
      <c r="N95" s="82"/>
      <c r="O95" s="82"/>
      <c r="P95" s="82"/>
      <c r="Q95" s="82"/>
      <c r="R95" s="82"/>
      <c r="S95" s="80"/>
    </row>
    <row r="96" spans="1:19" ht="57.75" customHeight="1">
      <c r="B96" s="205"/>
      <c r="C96" s="82"/>
      <c r="D96" s="82"/>
      <c r="E96" s="82"/>
      <c r="F96" s="82"/>
      <c r="G96" s="82"/>
      <c r="H96" s="82"/>
      <c r="I96" s="82"/>
      <c r="J96" s="82"/>
      <c r="K96" s="82"/>
      <c r="L96" s="82"/>
      <c r="M96" s="82"/>
      <c r="N96" s="82"/>
      <c r="O96" s="82"/>
      <c r="P96" s="82"/>
      <c r="Q96" s="82"/>
      <c r="R96" s="82"/>
      <c r="S96" s="80"/>
    </row>
    <row r="97" spans="2:19" ht="17.25" customHeight="1">
      <c r="B97" s="32"/>
      <c r="C97" s="32"/>
      <c r="D97" s="32"/>
      <c r="E97" s="32"/>
      <c r="F97" s="32"/>
      <c r="G97" s="32"/>
      <c r="H97" s="32"/>
      <c r="I97" s="32"/>
      <c r="J97" s="32"/>
      <c r="K97" s="32"/>
      <c r="L97" s="32"/>
      <c r="M97" s="32"/>
      <c r="N97" s="32"/>
      <c r="O97" s="32"/>
      <c r="P97" s="33"/>
      <c r="Q97" s="33"/>
      <c r="R97" s="33"/>
      <c r="S97" s="33"/>
    </row>
    <row r="98" spans="2:19" ht="21" customHeight="1">
      <c r="B98" s="186" t="s">
        <v>92</v>
      </c>
      <c r="C98" s="82"/>
      <c r="D98" s="82"/>
      <c r="E98" s="82"/>
      <c r="F98" s="82"/>
      <c r="G98" s="82"/>
      <c r="H98" s="82"/>
      <c r="I98" s="82"/>
      <c r="J98" s="82"/>
      <c r="K98" s="82"/>
      <c r="L98" s="82"/>
      <c r="M98" s="82"/>
      <c r="N98" s="82"/>
      <c r="O98" s="82"/>
      <c r="P98" s="82"/>
      <c r="Q98" s="82"/>
      <c r="R98" s="82"/>
      <c r="S98" s="80"/>
    </row>
    <row r="99" spans="2:19" ht="21.75" customHeight="1">
      <c r="B99" s="187" t="s">
        <v>124</v>
      </c>
      <c r="C99" s="82"/>
      <c r="D99" s="82"/>
      <c r="E99" s="82"/>
      <c r="F99" s="82"/>
      <c r="G99" s="82"/>
      <c r="H99" s="82"/>
      <c r="I99" s="82"/>
      <c r="J99" s="82"/>
      <c r="K99" s="82"/>
      <c r="L99" s="82"/>
      <c r="M99" s="82"/>
      <c r="N99" s="82"/>
      <c r="O99" s="82"/>
      <c r="P99" s="82"/>
      <c r="Q99" s="82"/>
      <c r="R99" s="82"/>
      <c r="S99" s="80"/>
    </row>
    <row r="100" spans="2:19" ht="142.5" customHeight="1">
      <c r="B100" s="183" t="s">
        <v>125</v>
      </c>
      <c r="C100" s="82"/>
      <c r="D100" s="82"/>
      <c r="E100" s="82"/>
      <c r="F100" s="82"/>
      <c r="G100" s="82"/>
      <c r="H100" s="82"/>
      <c r="I100" s="82"/>
      <c r="J100" s="82"/>
      <c r="K100" s="82"/>
      <c r="L100" s="82"/>
      <c r="M100" s="82"/>
      <c r="N100" s="82"/>
      <c r="O100" s="82"/>
      <c r="P100" s="82"/>
      <c r="Q100" s="82"/>
      <c r="R100" s="82"/>
      <c r="S100" s="80"/>
    </row>
    <row r="101" spans="2:19" ht="30" customHeight="1">
      <c r="B101" s="193" t="s">
        <v>92</v>
      </c>
      <c r="C101" s="93"/>
      <c r="D101" s="93"/>
      <c r="E101" s="93"/>
      <c r="F101" s="93"/>
      <c r="G101" s="93"/>
      <c r="H101" s="93"/>
      <c r="I101" s="93"/>
      <c r="J101" s="93"/>
      <c r="K101" s="93"/>
      <c r="L101" s="93"/>
      <c r="M101" s="93"/>
      <c r="N101" s="93"/>
      <c r="O101" s="93"/>
      <c r="P101" s="93"/>
      <c r="Q101" s="93"/>
      <c r="R101" s="93"/>
      <c r="S101" s="93"/>
    </row>
    <row r="102" spans="2:19" ht="24" customHeight="1">
      <c r="B102" s="203"/>
      <c r="C102" s="93"/>
      <c r="D102" s="93"/>
      <c r="E102" s="93"/>
      <c r="F102" s="93"/>
      <c r="G102" s="93"/>
      <c r="H102" s="93"/>
      <c r="I102" s="93"/>
      <c r="J102" s="93"/>
      <c r="K102" s="93"/>
      <c r="L102" s="93"/>
      <c r="M102" s="93"/>
      <c r="N102" s="93"/>
      <c r="O102" s="93"/>
      <c r="P102" s="93"/>
      <c r="Q102" s="93"/>
      <c r="R102" s="93"/>
      <c r="S102" s="94"/>
    </row>
    <row r="103" spans="2:19" ht="36.75" customHeight="1">
      <c r="B103" s="95"/>
      <c r="C103" s="96"/>
      <c r="D103" s="96"/>
      <c r="E103" s="96"/>
      <c r="F103" s="96"/>
      <c r="G103" s="96"/>
      <c r="H103" s="96"/>
      <c r="I103" s="96"/>
      <c r="J103" s="96"/>
      <c r="K103" s="96"/>
      <c r="L103" s="96"/>
      <c r="M103" s="96"/>
      <c r="N103" s="96"/>
      <c r="O103" s="96"/>
      <c r="P103" s="96"/>
      <c r="Q103" s="96"/>
      <c r="R103" s="96"/>
      <c r="S103" s="97"/>
    </row>
    <row r="104" spans="2:19" ht="32.25" customHeight="1">
      <c r="B104" s="204" t="s">
        <v>96</v>
      </c>
      <c r="C104" s="82"/>
      <c r="D104" s="82"/>
      <c r="E104" s="82"/>
      <c r="F104" s="82"/>
      <c r="G104" s="82"/>
      <c r="H104" s="82"/>
      <c r="I104" s="82"/>
      <c r="J104" s="82"/>
      <c r="K104" s="82"/>
      <c r="L104" s="82"/>
      <c r="M104" s="82"/>
      <c r="N104" s="82"/>
      <c r="O104" s="82"/>
      <c r="P104" s="82"/>
      <c r="Q104" s="82"/>
      <c r="R104" s="82"/>
      <c r="S104" s="82"/>
    </row>
    <row r="105" spans="2:19" ht="85.5" customHeight="1">
      <c r="B105" s="183" t="s">
        <v>97</v>
      </c>
      <c r="C105" s="82"/>
      <c r="D105" s="82"/>
      <c r="E105" s="82"/>
      <c r="F105" s="82"/>
      <c r="G105" s="82"/>
      <c r="H105" s="82"/>
      <c r="I105" s="82"/>
      <c r="J105" s="82"/>
      <c r="K105" s="82"/>
      <c r="L105" s="82"/>
      <c r="M105" s="82"/>
      <c r="N105" s="82"/>
      <c r="O105" s="82"/>
      <c r="P105" s="82"/>
      <c r="Q105" s="82"/>
      <c r="R105" s="82"/>
      <c r="S105" s="80"/>
    </row>
    <row r="106" spans="2:19" ht="18" customHeight="1">
      <c r="R106" s="5"/>
      <c r="S106" s="5"/>
    </row>
    <row r="107" spans="2:19" ht="19.5" customHeight="1">
      <c r="B107" s="7" t="s">
        <v>98</v>
      </c>
      <c r="C107" s="7"/>
      <c r="D107" s="7"/>
      <c r="E107" s="7"/>
      <c r="F107" s="7"/>
      <c r="G107" s="7"/>
      <c r="H107" s="7"/>
      <c r="I107" s="7"/>
      <c r="J107" s="7"/>
      <c r="K107" s="7"/>
      <c r="L107" s="7"/>
      <c r="M107" s="7"/>
      <c r="N107" s="7"/>
      <c r="O107" s="7"/>
      <c r="P107" s="7"/>
      <c r="R107" s="5"/>
      <c r="S107" s="5"/>
    </row>
    <row r="108" spans="2:19" ht="15.75" customHeight="1">
      <c r="B108" s="5" t="s">
        <v>99</v>
      </c>
    </row>
    <row r="109" spans="2:19" ht="15.75" customHeight="1"/>
    <row r="110" spans="2:19" ht="18" customHeight="1"/>
    <row r="111" spans="2:19" ht="15.75" customHeight="1"/>
    <row r="112" spans="2:19" ht="15.75" customHeight="1"/>
    <row r="113" ht="15.75" customHeight="1"/>
    <row r="114" ht="15.75" customHeight="1"/>
    <row r="115" ht="63.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12">
    <mergeCell ref="C65:H65"/>
    <mergeCell ref="I65:J65"/>
    <mergeCell ref="S71:S73"/>
    <mergeCell ref="Q72:Q73"/>
    <mergeCell ref="R72:R73"/>
    <mergeCell ref="B60:H62"/>
    <mergeCell ref="I60:J62"/>
    <mergeCell ref="K60:P60"/>
    <mergeCell ref="Q60:R60"/>
    <mergeCell ref="S60:S62"/>
    <mergeCell ref="K61:M62"/>
    <mergeCell ref="N61:P62"/>
    <mergeCell ref="C63:H63"/>
    <mergeCell ref="I63:J63"/>
    <mergeCell ref="K63:M63"/>
    <mergeCell ref="N63:P63"/>
    <mergeCell ref="I64:J64"/>
    <mergeCell ref="K64:M64"/>
    <mergeCell ref="N64:P64"/>
    <mergeCell ref="K66:M66"/>
    <mergeCell ref="N66:P66"/>
    <mergeCell ref="C64:H64"/>
    <mergeCell ref="K65:M65"/>
    <mergeCell ref="N65:P65"/>
    <mergeCell ref="C66:H66"/>
    <mergeCell ref="I66:J66"/>
    <mergeCell ref="B91:S91"/>
    <mergeCell ref="B101:S101"/>
    <mergeCell ref="B102:S103"/>
    <mergeCell ref="B104:S104"/>
    <mergeCell ref="B105:S105"/>
    <mergeCell ref="B92:S92"/>
    <mergeCell ref="B94:S94"/>
    <mergeCell ref="B95:S95"/>
    <mergeCell ref="B96:S96"/>
    <mergeCell ref="B98:S98"/>
    <mergeCell ref="B99:S99"/>
    <mergeCell ref="B100:S100"/>
    <mergeCell ref="C84:P84"/>
    <mergeCell ref="Q84:S84"/>
    <mergeCell ref="C85:P85"/>
    <mergeCell ref="Q85:S85"/>
    <mergeCell ref="C86:P86"/>
    <mergeCell ref="Q86:S86"/>
    <mergeCell ref="C87:P87"/>
    <mergeCell ref="Q87:S87"/>
    <mergeCell ref="B88:P89"/>
    <mergeCell ref="Q88:S89"/>
    <mergeCell ref="C78:H78"/>
    <mergeCell ref="I78:J78"/>
    <mergeCell ref="K78:M78"/>
    <mergeCell ref="N78:P78"/>
    <mergeCell ref="Q79:R79"/>
    <mergeCell ref="Q80:R80"/>
    <mergeCell ref="Q82:S82"/>
    <mergeCell ref="C82:P82"/>
    <mergeCell ref="C83:P83"/>
    <mergeCell ref="Q83:S83"/>
    <mergeCell ref="I75:J75"/>
    <mergeCell ref="K75:M75"/>
    <mergeCell ref="N75:P75"/>
    <mergeCell ref="K77:M77"/>
    <mergeCell ref="N77:P77"/>
    <mergeCell ref="C75:H75"/>
    <mergeCell ref="C76:H76"/>
    <mergeCell ref="I76:J76"/>
    <mergeCell ref="K76:M76"/>
    <mergeCell ref="N76:P76"/>
    <mergeCell ref="C77:H77"/>
    <mergeCell ref="I77:J77"/>
    <mergeCell ref="B56:C56"/>
    <mergeCell ref="D56:F56"/>
    <mergeCell ref="G56:H56"/>
    <mergeCell ref="B57:C57"/>
    <mergeCell ref="D57:F57"/>
    <mergeCell ref="G57:H57"/>
    <mergeCell ref="Q58:R58"/>
    <mergeCell ref="K74:M74"/>
    <mergeCell ref="N74:P74"/>
    <mergeCell ref="C74:H74"/>
    <mergeCell ref="I74:J74"/>
    <mergeCell ref="Q61:Q62"/>
    <mergeCell ref="R61:R62"/>
    <mergeCell ref="Q68:R68"/>
    <mergeCell ref="Q71:R71"/>
    <mergeCell ref="K72:M73"/>
    <mergeCell ref="N72:P73"/>
    <mergeCell ref="C67:H67"/>
    <mergeCell ref="I67:J67"/>
    <mergeCell ref="K67:M67"/>
    <mergeCell ref="N67:P67"/>
    <mergeCell ref="B71:H73"/>
    <mergeCell ref="I71:J73"/>
    <mergeCell ref="K71:P71"/>
    <mergeCell ref="B53:C53"/>
    <mergeCell ref="D53:F53"/>
    <mergeCell ref="G53:H53"/>
    <mergeCell ref="B54:C54"/>
    <mergeCell ref="D54:F54"/>
    <mergeCell ref="G54:H54"/>
    <mergeCell ref="B55:C55"/>
    <mergeCell ref="B49:C49"/>
    <mergeCell ref="D49:F49"/>
    <mergeCell ref="G49:H49"/>
    <mergeCell ref="D52:F52"/>
    <mergeCell ref="G52:H52"/>
    <mergeCell ref="B50:C50"/>
    <mergeCell ref="D50:F50"/>
    <mergeCell ref="G50:H50"/>
    <mergeCell ref="B51:C51"/>
    <mergeCell ref="D51:F51"/>
    <mergeCell ref="G51:H51"/>
    <mergeCell ref="B52:C52"/>
    <mergeCell ref="D55:F55"/>
    <mergeCell ref="G55:H55"/>
    <mergeCell ref="D48:F48"/>
    <mergeCell ref="G48:H48"/>
    <mergeCell ref="B46:C46"/>
    <mergeCell ref="D46:F46"/>
    <mergeCell ref="G46:H46"/>
    <mergeCell ref="B47:C47"/>
    <mergeCell ref="D47:F47"/>
    <mergeCell ref="G47:H47"/>
    <mergeCell ref="B48:C48"/>
    <mergeCell ref="D45:F45"/>
    <mergeCell ref="G45:H45"/>
    <mergeCell ref="B43:C43"/>
    <mergeCell ref="D43:F43"/>
    <mergeCell ref="G43:H43"/>
    <mergeCell ref="B44:C44"/>
    <mergeCell ref="D44:F44"/>
    <mergeCell ref="G44:H44"/>
    <mergeCell ref="B45:C45"/>
    <mergeCell ref="B29:S29"/>
    <mergeCell ref="C30:K30"/>
    <mergeCell ref="L30:S30"/>
    <mergeCell ref="C31:K31"/>
    <mergeCell ref="L31:S31"/>
    <mergeCell ref="C32:K32"/>
    <mergeCell ref="L32:S32"/>
    <mergeCell ref="B38:S38"/>
    <mergeCell ref="I39:R39"/>
    <mergeCell ref="G39:H42"/>
    <mergeCell ref="I40:P40"/>
    <mergeCell ref="I41:L41"/>
    <mergeCell ref="M41:P41"/>
    <mergeCell ref="Q40:R40"/>
    <mergeCell ref="Q41:Q42"/>
    <mergeCell ref="R41:R42"/>
    <mergeCell ref="C33:K33"/>
    <mergeCell ref="L33:S33"/>
    <mergeCell ref="B35:S35"/>
    <mergeCell ref="B36:S36"/>
    <mergeCell ref="B39:C42"/>
    <mergeCell ref="D39:F42"/>
    <mergeCell ref="S39:S42"/>
    <mergeCell ref="G8:S8"/>
    <mergeCell ref="G10:S10"/>
    <mergeCell ref="R14:S14"/>
    <mergeCell ref="R15:S15"/>
    <mergeCell ref="G11:S11"/>
    <mergeCell ref="G12:O12"/>
    <mergeCell ref="R12:S12"/>
    <mergeCell ref="G13:O13"/>
    <mergeCell ref="R13:S13"/>
    <mergeCell ref="G14:O14"/>
    <mergeCell ref="G15:O15"/>
    <mergeCell ref="B25:S25"/>
    <mergeCell ref="B27:S27"/>
    <mergeCell ref="N6:P6"/>
    <mergeCell ref="Q6:S6"/>
    <mergeCell ref="B2:S2"/>
    <mergeCell ref="B4:F4"/>
    <mergeCell ref="G4:S4"/>
    <mergeCell ref="B5:F5"/>
    <mergeCell ref="G5:S5"/>
    <mergeCell ref="B6:F6"/>
    <mergeCell ref="G6:M6"/>
    <mergeCell ref="B10:F10"/>
    <mergeCell ref="B11:F11"/>
    <mergeCell ref="B12:F15"/>
    <mergeCell ref="B20:C20"/>
    <mergeCell ref="B21:C21"/>
    <mergeCell ref="B22:C22"/>
    <mergeCell ref="B23:C23"/>
    <mergeCell ref="B24:C24"/>
    <mergeCell ref="B7:F7"/>
    <mergeCell ref="G7:M7"/>
    <mergeCell ref="N7:P7"/>
    <mergeCell ref="Q7:S7"/>
    <mergeCell ref="B8:F8"/>
    <mergeCell ref="D22:K22"/>
    <mergeCell ref="L22:M22"/>
    <mergeCell ref="N22:P22"/>
    <mergeCell ref="R22:S22"/>
    <mergeCell ref="L23:M23"/>
    <mergeCell ref="N23:P23"/>
    <mergeCell ref="R23:S23"/>
    <mergeCell ref="D23:K23"/>
    <mergeCell ref="D24:K24"/>
    <mergeCell ref="L24:M24"/>
    <mergeCell ref="N24:P24"/>
    <mergeCell ref="R24:S24"/>
    <mergeCell ref="R20:S20"/>
    <mergeCell ref="R21:S21"/>
    <mergeCell ref="B17:S18"/>
    <mergeCell ref="D20:K20"/>
    <mergeCell ref="L20:M20"/>
    <mergeCell ref="N20:P20"/>
    <mergeCell ref="D21:K21"/>
    <mergeCell ref="L21:M21"/>
    <mergeCell ref="N21:P21"/>
  </mergeCells>
  <pageMargins left="0.7" right="0.7" top="0.75" bottom="0.75" header="0" footer="0"/>
  <pageSetup paperSize="9"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Z1000"/>
  <sheetViews>
    <sheetView workbookViewId="0"/>
  </sheetViews>
  <sheetFormatPr defaultColWidth="14.44140625" defaultRowHeight="15" customHeight="1"/>
  <cols>
    <col min="1" max="1" width="2.44140625" customWidth="1"/>
    <col min="2" max="2" width="5" customWidth="1"/>
    <col min="3" max="3" width="2.6640625" customWidth="1"/>
    <col min="4" max="4" width="3" customWidth="1"/>
    <col min="5" max="5" width="3.44140625" customWidth="1"/>
    <col min="6" max="6" width="4.33203125" customWidth="1"/>
    <col min="7" max="8" width="3.109375" customWidth="1"/>
    <col min="9" max="9" width="2.6640625" customWidth="1"/>
    <col min="10" max="10" width="3.109375" customWidth="1"/>
    <col min="11" max="11" width="2.44140625" customWidth="1"/>
    <col min="12" max="12" width="2.6640625" customWidth="1"/>
    <col min="13" max="13" width="3.44140625" customWidth="1"/>
    <col min="14" max="14" width="3" customWidth="1"/>
    <col min="15" max="15" width="3.44140625" customWidth="1"/>
    <col min="16" max="16" width="6.44140625" customWidth="1"/>
    <col min="17" max="17" width="11.109375" customWidth="1"/>
    <col min="18" max="18" width="5.6640625" customWidth="1"/>
    <col min="19" max="19" width="7.44140625" customWidth="1"/>
    <col min="20" max="26" width="8.6640625" customWidth="1"/>
  </cols>
  <sheetData>
    <row r="2" spans="2:19" ht="46.5" customHeight="1">
      <c r="B2" s="213" t="s">
        <v>126</v>
      </c>
      <c r="C2" s="107"/>
      <c r="D2" s="107"/>
      <c r="E2" s="107"/>
      <c r="F2" s="107"/>
      <c r="G2" s="107"/>
      <c r="H2" s="107"/>
      <c r="I2" s="107"/>
      <c r="J2" s="107"/>
      <c r="K2" s="107"/>
      <c r="L2" s="107"/>
      <c r="M2" s="107"/>
      <c r="N2" s="107"/>
      <c r="O2" s="107"/>
      <c r="P2" s="107"/>
      <c r="Q2" s="107"/>
      <c r="R2" s="107"/>
      <c r="S2" s="107"/>
    </row>
    <row r="4" spans="2:19" ht="20.25" customHeight="1">
      <c r="B4" s="196" t="s">
        <v>1</v>
      </c>
      <c r="C4" s="82"/>
      <c r="D4" s="82"/>
      <c r="E4" s="82"/>
      <c r="F4" s="80"/>
      <c r="G4" s="197" t="s">
        <v>127</v>
      </c>
      <c r="H4" s="82"/>
      <c r="I4" s="82"/>
      <c r="J4" s="82"/>
      <c r="K4" s="82"/>
      <c r="L4" s="82"/>
      <c r="M4" s="82"/>
      <c r="N4" s="82"/>
      <c r="O4" s="82"/>
      <c r="P4" s="82"/>
      <c r="Q4" s="82"/>
      <c r="R4" s="82"/>
      <c r="S4" s="80"/>
    </row>
    <row r="5" spans="2:19" ht="20.25" customHeight="1">
      <c r="B5" s="129" t="s">
        <v>2</v>
      </c>
      <c r="C5" s="82"/>
      <c r="D5" s="82"/>
      <c r="E5" s="82"/>
      <c r="F5" s="80"/>
      <c r="G5" s="130" t="s">
        <v>128</v>
      </c>
      <c r="H5" s="82"/>
      <c r="I5" s="82"/>
      <c r="J5" s="82"/>
      <c r="K5" s="82"/>
      <c r="L5" s="82"/>
      <c r="M5" s="82"/>
      <c r="N5" s="82"/>
      <c r="O5" s="82"/>
      <c r="P5" s="82"/>
      <c r="Q5" s="82"/>
      <c r="R5" s="82"/>
      <c r="S5" s="80"/>
    </row>
    <row r="6" spans="2:19" ht="24" customHeight="1">
      <c r="B6" s="129" t="s">
        <v>4</v>
      </c>
      <c r="C6" s="82"/>
      <c r="D6" s="82"/>
      <c r="E6" s="82"/>
      <c r="F6" s="80"/>
      <c r="G6" s="125" t="s">
        <v>129</v>
      </c>
      <c r="H6" s="82"/>
      <c r="I6" s="82"/>
      <c r="J6" s="82"/>
      <c r="K6" s="82"/>
      <c r="L6" s="82"/>
      <c r="M6" s="80"/>
      <c r="N6" s="124" t="s">
        <v>5</v>
      </c>
      <c r="O6" s="82"/>
      <c r="P6" s="80"/>
      <c r="Q6" s="125" t="s">
        <v>130</v>
      </c>
      <c r="R6" s="82"/>
      <c r="S6" s="80"/>
    </row>
    <row r="7" spans="2:19" ht="48" customHeight="1">
      <c r="B7" s="129" t="s">
        <v>6</v>
      </c>
      <c r="C7" s="82"/>
      <c r="D7" s="82"/>
      <c r="E7" s="82"/>
      <c r="F7" s="80"/>
      <c r="G7" s="125" t="s">
        <v>108</v>
      </c>
      <c r="H7" s="82"/>
      <c r="I7" s="82"/>
      <c r="J7" s="82"/>
      <c r="K7" s="82"/>
      <c r="L7" s="82"/>
      <c r="M7" s="80"/>
      <c r="N7" s="124" t="s">
        <v>8</v>
      </c>
      <c r="O7" s="82"/>
      <c r="P7" s="80"/>
      <c r="Q7" s="125" t="s">
        <v>131</v>
      </c>
      <c r="R7" s="82"/>
      <c r="S7" s="80"/>
    </row>
    <row r="8" spans="2:19" ht="20.25" customHeight="1">
      <c r="B8" s="129" t="s">
        <v>9</v>
      </c>
      <c r="C8" s="82"/>
      <c r="D8" s="82"/>
      <c r="E8" s="82"/>
      <c r="F8" s="80"/>
      <c r="G8" s="131">
        <v>2</v>
      </c>
      <c r="H8" s="82"/>
      <c r="I8" s="82"/>
      <c r="J8" s="82"/>
      <c r="K8" s="82"/>
      <c r="L8" s="82"/>
      <c r="M8" s="82"/>
      <c r="N8" s="82"/>
      <c r="O8" s="82"/>
      <c r="P8" s="82"/>
      <c r="Q8" s="82"/>
      <c r="R8" s="82"/>
      <c r="S8" s="80"/>
    </row>
    <row r="10" spans="2:19" ht="156.75" customHeight="1">
      <c r="B10" s="133" t="s">
        <v>10</v>
      </c>
      <c r="C10" s="82"/>
      <c r="D10" s="82"/>
      <c r="E10" s="82"/>
      <c r="F10" s="80"/>
      <c r="G10" s="85" t="s">
        <v>132</v>
      </c>
      <c r="H10" s="82"/>
      <c r="I10" s="82"/>
      <c r="J10" s="82"/>
      <c r="K10" s="82"/>
      <c r="L10" s="82"/>
      <c r="M10" s="82"/>
      <c r="N10" s="82"/>
      <c r="O10" s="82"/>
      <c r="P10" s="82"/>
      <c r="Q10" s="82"/>
      <c r="R10" s="82"/>
      <c r="S10" s="80"/>
    </row>
    <row r="11" spans="2:19" ht="64.5" customHeight="1">
      <c r="B11" s="133" t="s">
        <v>11</v>
      </c>
      <c r="C11" s="82"/>
      <c r="D11" s="82"/>
      <c r="E11" s="82"/>
      <c r="F11" s="80"/>
      <c r="G11" s="198" t="s">
        <v>133</v>
      </c>
      <c r="H11" s="82"/>
      <c r="I11" s="82"/>
      <c r="J11" s="82"/>
      <c r="K11" s="82"/>
      <c r="L11" s="82"/>
      <c r="M11" s="82"/>
      <c r="N11" s="82"/>
      <c r="O11" s="82"/>
      <c r="P11" s="82"/>
      <c r="Q11" s="82"/>
      <c r="R11" s="82"/>
      <c r="S11" s="80"/>
    </row>
    <row r="12" spans="2:19" ht="24.75" customHeight="1">
      <c r="B12" s="134" t="s">
        <v>12</v>
      </c>
      <c r="C12" s="93"/>
      <c r="D12" s="93"/>
      <c r="E12" s="93"/>
      <c r="F12" s="94"/>
      <c r="G12" s="133" t="s">
        <v>13</v>
      </c>
      <c r="H12" s="82"/>
      <c r="I12" s="82"/>
      <c r="J12" s="82"/>
      <c r="K12" s="82"/>
      <c r="L12" s="82"/>
      <c r="M12" s="82"/>
      <c r="N12" s="82"/>
      <c r="O12" s="80"/>
      <c r="P12" s="2" t="s">
        <v>14</v>
      </c>
      <c r="Q12" s="2" t="s">
        <v>15</v>
      </c>
      <c r="R12" s="133" t="s">
        <v>16</v>
      </c>
      <c r="S12" s="80"/>
    </row>
    <row r="13" spans="2:19" ht="10.5" customHeight="1">
      <c r="B13" s="106"/>
      <c r="C13" s="107"/>
      <c r="D13" s="107"/>
      <c r="E13" s="107"/>
      <c r="F13" s="108"/>
      <c r="G13" s="149" t="s">
        <v>134</v>
      </c>
      <c r="H13" s="82"/>
      <c r="I13" s="82"/>
      <c r="J13" s="82"/>
      <c r="K13" s="82"/>
      <c r="L13" s="82"/>
      <c r="M13" s="82"/>
      <c r="N13" s="82"/>
      <c r="O13" s="82"/>
      <c r="P13" s="10">
        <v>37855</v>
      </c>
      <c r="Q13" s="54">
        <v>173745760</v>
      </c>
      <c r="R13" s="214" t="s">
        <v>135</v>
      </c>
      <c r="S13" s="80"/>
    </row>
    <row r="14" spans="2:19" ht="15.75" customHeight="1">
      <c r="B14" s="106"/>
      <c r="C14" s="107"/>
      <c r="D14" s="107"/>
      <c r="E14" s="107"/>
      <c r="F14" s="108"/>
      <c r="G14" s="125"/>
      <c r="H14" s="82"/>
      <c r="I14" s="82"/>
      <c r="J14" s="82"/>
      <c r="K14" s="82"/>
      <c r="L14" s="82"/>
      <c r="M14" s="82"/>
      <c r="N14" s="82"/>
      <c r="O14" s="82"/>
      <c r="P14" s="50"/>
      <c r="Q14" s="50"/>
      <c r="R14" s="125"/>
      <c r="S14" s="80"/>
    </row>
    <row r="15" spans="2:19" ht="15.75" customHeight="1">
      <c r="B15" s="95"/>
      <c r="C15" s="96"/>
      <c r="D15" s="96"/>
      <c r="E15" s="96"/>
      <c r="F15" s="97"/>
      <c r="G15" s="125"/>
      <c r="H15" s="82"/>
      <c r="I15" s="82"/>
      <c r="J15" s="82"/>
      <c r="K15" s="82"/>
      <c r="L15" s="82"/>
      <c r="M15" s="82"/>
      <c r="N15" s="82"/>
      <c r="O15" s="82"/>
      <c r="P15" s="50"/>
      <c r="Q15" s="50"/>
      <c r="R15" s="125"/>
      <c r="S15" s="80"/>
    </row>
    <row r="16" spans="2:19" ht="14.4">
      <c r="C16" s="5"/>
      <c r="D16" s="5"/>
      <c r="E16" s="5"/>
    </row>
    <row r="17" spans="1:26" ht="14.25" customHeight="1">
      <c r="B17" s="143" t="s">
        <v>17</v>
      </c>
      <c r="C17" s="107"/>
      <c r="D17" s="107"/>
      <c r="E17" s="107"/>
      <c r="F17" s="107"/>
      <c r="G17" s="107"/>
      <c r="H17" s="107"/>
      <c r="I17" s="107"/>
      <c r="J17" s="107"/>
      <c r="K17" s="107"/>
      <c r="L17" s="107"/>
      <c r="M17" s="107"/>
      <c r="N17" s="107"/>
      <c r="O17" s="107"/>
      <c r="P17" s="107"/>
      <c r="Q17" s="107"/>
      <c r="R17" s="107"/>
      <c r="S17" s="107"/>
    </row>
    <row r="18" spans="1:26" ht="15" customHeight="1">
      <c r="B18" s="107"/>
      <c r="C18" s="107"/>
      <c r="D18" s="107"/>
      <c r="E18" s="107"/>
      <c r="F18" s="107"/>
      <c r="G18" s="107"/>
      <c r="H18" s="107"/>
      <c r="I18" s="107"/>
      <c r="J18" s="107"/>
      <c r="K18" s="107"/>
      <c r="L18" s="107"/>
      <c r="M18" s="107"/>
      <c r="N18" s="107"/>
      <c r="O18" s="107"/>
      <c r="P18" s="107"/>
      <c r="Q18" s="107"/>
      <c r="R18" s="107"/>
      <c r="S18" s="107"/>
    </row>
    <row r="20" spans="1:26" ht="46.5" customHeight="1">
      <c r="A20" s="7"/>
      <c r="B20" s="144" t="s">
        <v>18</v>
      </c>
      <c r="C20" s="80"/>
      <c r="D20" s="144" t="s">
        <v>19</v>
      </c>
      <c r="E20" s="82"/>
      <c r="F20" s="82"/>
      <c r="G20" s="82"/>
      <c r="H20" s="82"/>
      <c r="I20" s="82"/>
      <c r="J20" s="82"/>
      <c r="K20" s="80"/>
      <c r="L20" s="145" t="s">
        <v>20</v>
      </c>
      <c r="M20" s="80"/>
      <c r="N20" s="145" t="s">
        <v>21</v>
      </c>
      <c r="O20" s="82"/>
      <c r="P20" s="80"/>
      <c r="Q20" s="8" t="s">
        <v>22</v>
      </c>
      <c r="R20" s="141" t="s">
        <v>23</v>
      </c>
      <c r="S20" s="80"/>
      <c r="T20" s="7"/>
      <c r="U20" s="7"/>
      <c r="V20" s="7"/>
      <c r="W20" s="7"/>
      <c r="X20" s="7"/>
      <c r="Y20" s="7"/>
      <c r="Z20" s="7"/>
    </row>
    <row r="21" spans="1:26" ht="100.5" customHeight="1">
      <c r="B21" s="149" t="s">
        <v>24</v>
      </c>
      <c r="C21" s="80"/>
      <c r="D21" s="149" t="s">
        <v>136</v>
      </c>
      <c r="E21" s="82"/>
      <c r="F21" s="82"/>
      <c r="G21" s="82"/>
      <c r="H21" s="82"/>
      <c r="I21" s="82"/>
      <c r="J21" s="82"/>
      <c r="K21" s="80"/>
      <c r="L21" s="149" t="s">
        <v>137</v>
      </c>
      <c r="M21" s="80"/>
      <c r="N21" s="149" t="s">
        <v>138</v>
      </c>
      <c r="O21" s="82"/>
      <c r="P21" s="80"/>
      <c r="Q21" s="55" t="s">
        <v>139</v>
      </c>
      <c r="R21" s="209" t="s">
        <v>116</v>
      </c>
      <c r="S21" s="80"/>
    </row>
    <row r="22" spans="1:26" ht="54" customHeight="1">
      <c r="B22" s="149" t="s">
        <v>25</v>
      </c>
      <c r="C22" s="80"/>
      <c r="D22" s="149" t="s">
        <v>140</v>
      </c>
      <c r="E22" s="82"/>
      <c r="F22" s="82"/>
      <c r="G22" s="82"/>
      <c r="H22" s="82"/>
      <c r="I22" s="82"/>
      <c r="J22" s="82"/>
      <c r="K22" s="80"/>
      <c r="L22" s="149" t="s">
        <v>141</v>
      </c>
      <c r="M22" s="80"/>
      <c r="N22" s="149" t="s">
        <v>142</v>
      </c>
      <c r="O22" s="82"/>
      <c r="P22" s="80"/>
      <c r="Q22" s="56" t="s">
        <v>143</v>
      </c>
      <c r="R22" s="209" t="s">
        <v>144</v>
      </c>
      <c r="S22" s="80"/>
    </row>
    <row r="23" spans="1:26" ht="87" customHeight="1">
      <c r="B23" s="149" t="s">
        <v>27</v>
      </c>
      <c r="C23" s="80"/>
      <c r="D23" s="149" t="s">
        <v>145</v>
      </c>
      <c r="E23" s="82"/>
      <c r="F23" s="82"/>
      <c r="G23" s="82"/>
      <c r="H23" s="82"/>
      <c r="I23" s="82"/>
      <c r="J23" s="82"/>
      <c r="K23" s="80"/>
      <c r="L23" s="149" t="s">
        <v>146</v>
      </c>
      <c r="M23" s="80"/>
      <c r="N23" s="149" t="s">
        <v>147</v>
      </c>
      <c r="O23" s="82"/>
      <c r="P23" s="80"/>
      <c r="Q23" s="56" t="s">
        <v>148</v>
      </c>
      <c r="R23" s="209" t="s">
        <v>149</v>
      </c>
      <c r="S23" s="80"/>
    </row>
    <row r="24" spans="1:26" ht="87" customHeight="1">
      <c r="B24" s="149" t="s">
        <v>29</v>
      </c>
      <c r="C24" s="80"/>
      <c r="D24" s="149" t="s">
        <v>150</v>
      </c>
      <c r="E24" s="82"/>
      <c r="F24" s="82"/>
      <c r="G24" s="82"/>
      <c r="H24" s="82"/>
      <c r="I24" s="82"/>
      <c r="J24" s="82"/>
      <c r="K24" s="80"/>
      <c r="L24" s="149" t="s">
        <v>151</v>
      </c>
      <c r="M24" s="80"/>
      <c r="N24" s="149" t="s">
        <v>152</v>
      </c>
      <c r="O24" s="82"/>
      <c r="P24" s="80"/>
      <c r="Q24" s="56" t="s">
        <v>148</v>
      </c>
      <c r="R24" s="212" t="s">
        <v>153</v>
      </c>
      <c r="S24" s="80"/>
    </row>
    <row r="25" spans="1:26" ht="54" customHeight="1">
      <c r="B25" s="149" t="s">
        <v>154</v>
      </c>
      <c r="C25" s="80"/>
      <c r="D25" s="149" t="s">
        <v>155</v>
      </c>
      <c r="E25" s="82"/>
      <c r="F25" s="82"/>
      <c r="G25" s="82"/>
      <c r="H25" s="82"/>
      <c r="I25" s="82"/>
      <c r="J25" s="82"/>
      <c r="K25" s="80"/>
      <c r="L25" s="149" t="s">
        <v>141</v>
      </c>
      <c r="M25" s="80"/>
      <c r="N25" s="149" t="s">
        <v>156</v>
      </c>
      <c r="O25" s="82"/>
      <c r="P25" s="80"/>
      <c r="Q25" s="56" t="s">
        <v>148</v>
      </c>
      <c r="R25" s="209" t="s">
        <v>149</v>
      </c>
      <c r="S25" s="80"/>
    </row>
    <row r="26" spans="1:26" ht="117" customHeight="1">
      <c r="B26" s="85" t="s">
        <v>109</v>
      </c>
      <c r="C26" s="82"/>
      <c r="D26" s="82"/>
      <c r="E26" s="82"/>
      <c r="F26" s="82"/>
      <c r="G26" s="82"/>
      <c r="H26" s="82"/>
      <c r="I26" s="82"/>
      <c r="J26" s="82"/>
      <c r="K26" s="82"/>
      <c r="L26" s="82"/>
      <c r="M26" s="82"/>
      <c r="N26" s="82"/>
      <c r="O26" s="82"/>
      <c r="P26" s="82"/>
      <c r="Q26" s="82"/>
      <c r="R26" s="82"/>
      <c r="S26" s="80"/>
    </row>
    <row r="27" spans="1:26" ht="9" customHeight="1">
      <c r="B27" s="6"/>
      <c r="C27" s="6"/>
      <c r="D27" s="6"/>
      <c r="E27" s="6"/>
      <c r="F27" s="6"/>
      <c r="G27" s="6"/>
      <c r="H27" s="6"/>
      <c r="I27" s="6"/>
      <c r="J27" s="6"/>
      <c r="K27" s="6"/>
      <c r="L27" s="6"/>
      <c r="M27" s="6"/>
      <c r="N27" s="6"/>
      <c r="O27" s="6"/>
      <c r="P27" s="6"/>
      <c r="Q27" s="6"/>
      <c r="R27" s="6"/>
      <c r="S27" s="6"/>
    </row>
    <row r="28" spans="1:26" ht="15.75" customHeight="1">
      <c r="G28" s="5"/>
    </row>
    <row r="29" spans="1:26" ht="15.75" customHeight="1">
      <c r="B29" s="113" t="s">
        <v>31</v>
      </c>
      <c r="C29" s="96"/>
      <c r="D29" s="96"/>
      <c r="E29" s="96"/>
      <c r="F29" s="96"/>
      <c r="G29" s="96"/>
      <c r="H29" s="96"/>
      <c r="I29" s="96"/>
      <c r="J29" s="96"/>
      <c r="K29" s="96"/>
      <c r="L29" s="96"/>
      <c r="M29" s="96"/>
      <c r="N29" s="96"/>
      <c r="O29" s="96"/>
      <c r="P29" s="96"/>
      <c r="Q29" s="96"/>
      <c r="R29" s="96"/>
      <c r="S29" s="96"/>
    </row>
    <row r="30" spans="1:26" ht="15.75" customHeight="1">
      <c r="B30" s="9" t="s">
        <v>18</v>
      </c>
      <c r="C30" s="199" t="s">
        <v>32</v>
      </c>
      <c r="D30" s="82"/>
      <c r="E30" s="82"/>
      <c r="F30" s="82"/>
      <c r="G30" s="82"/>
      <c r="H30" s="82"/>
      <c r="I30" s="82"/>
      <c r="J30" s="82"/>
      <c r="K30" s="80"/>
      <c r="L30" s="199" t="s">
        <v>33</v>
      </c>
      <c r="M30" s="82"/>
      <c r="N30" s="82"/>
      <c r="O30" s="82"/>
      <c r="P30" s="82"/>
      <c r="Q30" s="82"/>
      <c r="R30" s="82"/>
      <c r="S30" s="80"/>
    </row>
    <row r="31" spans="1:26" ht="15.75" customHeight="1">
      <c r="B31" s="10">
        <v>1</v>
      </c>
      <c r="C31" s="208" t="s">
        <v>157</v>
      </c>
      <c r="D31" s="82"/>
      <c r="E31" s="82"/>
      <c r="F31" s="82"/>
      <c r="G31" s="82"/>
      <c r="H31" s="82"/>
      <c r="I31" s="82"/>
      <c r="J31" s="82"/>
      <c r="K31" s="80"/>
      <c r="L31" s="210" t="s">
        <v>158</v>
      </c>
      <c r="M31" s="82"/>
      <c r="N31" s="82"/>
      <c r="O31" s="82"/>
      <c r="P31" s="82"/>
      <c r="Q31" s="82"/>
      <c r="R31" s="82"/>
      <c r="S31" s="80"/>
    </row>
    <row r="32" spans="1:26" ht="52.5" customHeight="1">
      <c r="B32" s="10">
        <v>2</v>
      </c>
      <c r="C32" s="208" t="s">
        <v>159</v>
      </c>
      <c r="D32" s="82"/>
      <c r="E32" s="82"/>
      <c r="F32" s="82"/>
      <c r="G32" s="82"/>
      <c r="H32" s="82"/>
      <c r="I32" s="82"/>
      <c r="J32" s="82"/>
      <c r="K32" s="80"/>
      <c r="L32" s="211" t="s">
        <v>160</v>
      </c>
      <c r="M32" s="82"/>
      <c r="N32" s="82"/>
      <c r="O32" s="82"/>
      <c r="P32" s="82"/>
      <c r="Q32" s="82"/>
      <c r="R32" s="82"/>
      <c r="S32" s="80"/>
    </row>
    <row r="33" spans="2:19" ht="16.5" customHeight="1">
      <c r="B33" s="10">
        <v>3</v>
      </c>
      <c r="C33" s="200"/>
      <c r="D33" s="82"/>
      <c r="E33" s="82"/>
      <c r="F33" s="82"/>
      <c r="G33" s="82"/>
      <c r="H33" s="82"/>
      <c r="I33" s="82"/>
      <c r="J33" s="82"/>
      <c r="K33" s="80"/>
      <c r="L33" s="183"/>
      <c r="M33" s="82"/>
      <c r="N33" s="82"/>
      <c r="O33" s="82"/>
      <c r="P33" s="82"/>
      <c r="Q33" s="82"/>
      <c r="R33" s="82"/>
      <c r="S33" s="80"/>
    </row>
    <row r="34" spans="2:19" ht="15.75" customHeight="1"/>
    <row r="35" spans="2:19" ht="28.5" customHeight="1">
      <c r="B35" s="156" t="s">
        <v>36</v>
      </c>
      <c r="C35" s="82"/>
      <c r="D35" s="82"/>
      <c r="E35" s="82"/>
      <c r="F35" s="82"/>
      <c r="G35" s="82"/>
      <c r="H35" s="82"/>
      <c r="I35" s="82"/>
      <c r="J35" s="82"/>
      <c r="K35" s="82"/>
      <c r="L35" s="82"/>
      <c r="M35" s="82"/>
      <c r="N35" s="82"/>
      <c r="O35" s="82"/>
      <c r="P35" s="82"/>
      <c r="Q35" s="82"/>
      <c r="R35" s="82"/>
      <c r="S35" s="80"/>
    </row>
    <row r="36" spans="2:19" ht="55.5" customHeight="1">
      <c r="B36" s="183" t="s">
        <v>161</v>
      </c>
      <c r="C36" s="82"/>
      <c r="D36" s="82"/>
      <c r="E36" s="82"/>
      <c r="F36" s="82"/>
      <c r="G36" s="82"/>
      <c r="H36" s="82"/>
      <c r="I36" s="82"/>
      <c r="J36" s="82"/>
      <c r="K36" s="82"/>
      <c r="L36" s="82"/>
      <c r="M36" s="82"/>
      <c r="N36" s="82"/>
      <c r="O36" s="82"/>
      <c r="P36" s="82"/>
      <c r="Q36" s="82"/>
      <c r="R36" s="82"/>
      <c r="S36" s="80"/>
    </row>
    <row r="38" spans="2:19" ht="15.75" customHeight="1">
      <c r="B38" s="158" t="s">
        <v>37</v>
      </c>
      <c r="C38" s="107"/>
      <c r="D38" s="107"/>
      <c r="E38" s="107"/>
      <c r="F38" s="107"/>
      <c r="G38" s="107"/>
      <c r="H38" s="107"/>
      <c r="I38" s="107"/>
      <c r="J38" s="107"/>
      <c r="K38" s="107"/>
      <c r="L38" s="107"/>
      <c r="M38" s="107"/>
      <c r="N38" s="107"/>
      <c r="O38" s="107"/>
      <c r="P38" s="107"/>
      <c r="Q38" s="107"/>
      <c r="R38" s="107"/>
      <c r="S38" s="107"/>
    </row>
    <row r="39" spans="2:19" ht="19.5" customHeight="1">
      <c r="B39" s="159" t="s">
        <v>38</v>
      </c>
      <c r="C39" s="160"/>
      <c r="D39" s="159" t="s">
        <v>39</v>
      </c>
      <c r="E39" s="93"/>
      <c r="F39" s="94"/>
      <c r="G39" s="105" t="s">
        <v>19</v>
      </c>
      <c r="H39" s="94"/>
      <c r="I39" s="109" t="s">
        <v>40</v>
      </c>
      <c r="J39" s="82"/>
      <c r="K39" s="82"/>
      <c r="L39" s="82"/>
      <c r="M39" s="82"/>
      <c r="N39" s="82"/>
      <c r="O39" s="82"/>
      <c r="P39" s="82"/>
      <c r="Q39" s="82"/>
      <c r="R39" s="80"/>
      <c r="S39" s="162" t="s">
        <v>111</v>
      </c>
    </row>
    <row r="40" spans="2:19" ht="40.5" customHeight="1">
      <c r="B40" s="106"/>
      <c r="C40" s="78"/>
      <c r="D40" s="106"/>
      <c r="E40" s="107"/>
      <c r="F40" s="108"/>
      <c r="G40" s="106"/>
      <c r="H40" s="108"/>
      <c r="I40" s="145" t="s">
        <v>42</v>
      </c>
      <c r="J40" s="82"/>
      <c r="K40" s="82"/>
      <c r="L40" s="82"/>
      <c r="M40" s="82"/>
      <c r="N40" s="82"/>
      <c r="O40" s="82"/>
      <c r="P40" s="80"/>
      <c r="Q40" s="121" t="s">
        <v>43</v>
      </c>
      <c r="R40" s="80"/>
      <c r="S40" s="163"/>
    </row>
    <row r="41" spans="2:19" ht="46.5" customHeight="1">
      <c r="B41" s="106"/>
      <c r="C41" s="78"/>
      <c r="D41" s="106"/>
      <c r="E41" s="107"/>
      <c r="F41" s="108"/>
      <c r="G41" s="106"/>
      <c r="H41" s="108"/>
      <c r="I41" s="171" t="s">
        <v>44</v>
      </c>
      <c r="J41" s="82"/>
      <c r="K41" s="82"/>
      <c r="L41" s="80"/>
      <c r="M41" s="172" t="s">
        <v>45</v>
      </c>
      <c r="N41" s="82"/>
      <c r="O41" s="82"/>
      <c r="P41" s="80"/>
      <c r="Q41" s="173" t="s">
        <v>46</v>
      </c>
      <c r="R41" s="155" t="s">
        <v>47</v>
      </c>
      <c r="S41" s="163"/>
    </row>
    <row r="42" spans="2:19" ht="15.75" customHeight="1">
      <c r="B42" s="95"/>
      <c r="C42" s="161"/>
      <c r="D42" s="95"/>
      <c r="E42" s="96"/>
      <c r="F42" s="97"/>
      <c r="G42" s="95"/>
      <c r="H42" s="97"/>
      <c r="I42" s="11" t="s">
        <v>48</v>
      </c>
      <c r="J42" s="11" t="s">
        <v>49</v>
      </c>
      <c r="K42" s="11" t="s">
        <v>50</v>
      </c>
      <c r="L42" s="11" t="s">
        <v>51</v>
      </c>
      <c r="M42" s="11" t="s">
        <v>48</v>
      </c>
      <c r="N42" s="11" t="s">
        <v>49</v>
      </c>
      <c r="O42" s="11" t="s">
        <v>50</v>
      </c>
      <c r="P42" s="11" t="s">
        <v>51</v>
      </c>
      <c r="Q42" s="102"/>
      <c r="R42" s="102"/>
      <c r="S42" s="102"/>
    </row>
    <row r="43" spans="2:19" ht="31.5" customHeight="1">
      <c r="B43" s="198" t="s">
        <v>52</v>
      </c>
      <c r="C43" s="80"/>
      <c r="D43" s="206" t="s">
        <v>162</v>
      </c>
      <c r="E43" s="82"/>
      <c r="F43" s="80"/>
      <c r="G43" s="198">
        <v>1</v>
      </c>
      <c r="H43" s="80"/>
      <c r="I43" s="57"/>
      <c r="J43" s="57"/>
      <c r="K43" s="58"/>
      <c r="L43" s="58"/>
      <c r="M43" s="58">
        <v>3</v>
      </c>
      <c r="N43" s="58"/>
      <c r="O43" s="58"/>
      <c r="P43" s="58"/>
      <c r="Q43" s="57">
        <v>5</v>
      </c>
      <c r="R43" s="57">
        <v>5</v>
      </c>
      <c r="S43" s="57">
        <f t="shared" ref="S43:S57" si="0">SUM(I43:R43)</f>
        <v>13</v>
      </c>
    </row>
    <row r="44" spans="2:19" ht="30" customHeight="1">
      <c r="B44" s="198" t="s">
        <v>53</v>
      </c>
      <c r="C44" s="80"/>
      <c r="D44" s="206" t="s">
        <v>163</v>
      </c>
      <c r="E44" s="82"/>
      <c r="F44" s="80"/>
      <c r="G44" s="198">
        <v>1</v>
      </c>
      <c r="H44" s="80"/>
      <c r="I44" s="57"/>
      <c r="J44" s="57"/>
      <c r="K44" s="58"/>
      <c r="L44" s="58"/>
      <c r="M44" s="58">
        <v>3</v>
      </c>
      <c r="N44" s="58"/>
      <c r="O44" s="58"/>
      <c r="P44" s="58"/>
      <c r="Q44" s="57"/>
      <c r="R44" s="57"/>
      <c r="S44" s="57">
        <f t="shared" si="0"/>
        <v>3</v>
      </c>
    </row>
    <row r="45" spans="2:19" ht="51" customHeight="1">
      <c r="B45" s="198" t="s">
        <v>112</v>
      </c>
      <c r="C45" s="80"/>
      <c r="D45" s="206" t="s">
        <v>164</v>
      </c>
      <c r="E45" s="82"/>
      <c r="F45" s="80"/>
      <c r="G45" s="198">
        <v>1</v>
      </c>
      <c r="H45" s="80"/>
      <c r="I45" s="57">
        <v>2</v>
      </c>
      <c r="J45" s="57"/>
      <c r="K45" s="58">
        <v>1</v>
      </c>
      <c r="L45" s="58"/>
      <c r="M45" s="58"/>
      <c r="N45" s="58"/>
      <c r="O45" s="58"/>
      <c r="P45" s="58"/>
      <c r="Q45" s="57">
        <v>5</v>
      </c>
      <c r="R45" s="57">
        <v>5</v>
      </c>
      <c r="S45" s="57">
        <f t="shared" si="0"/>
        <v>13</v>
      </c>
    </row>
    <row r="46" spans="2:19" ht="33" customHeight="1">
      <c r="B46" s="198" t="s">
        <v>54</v>
      </c>
      <c r="C46" s="80"/>
      <c r="D46" s="206" t="s">
        <v>165</v>
      </c>
      <c r="E46" s="82"/>
      <c r="F46" s="80"/>
      <c r="G46" s="198">
        <v>2</v>
      </c>
      <c r="H46" s="80"/>
      <c r="I46" s="57">
        <v>2</v>
      </c>
      <c r="J46" s="57"/>
      <c r="K46" s="58">
        <v>1</v>
      </c>
      <c r="L46" s="58"/>
      <c r="M46" s="58"/>
      <c r="N46" s="58"/>
      <c r="O46" s="58"/>
      <c r="P46" s="58"/>
      <c r="Q46" s="57"/>
      <c r="R46" s="57"/>
      <c r="S46" s="57">
        <f t="shared" si="0"/>
        <v>3</v>
      </c>
    </row>
    <row r="47" spans="2:19" ht="30" customHeight="1">
      <c r="B47" s="198" t="s">
        <v>55</v>
      </c>
      <c r="C47" s="80"/>
      <c r="D47" s="206" t="s">
        <v>166</v>
      </c>
      <c r="E47" s="82"/>
      <c r="F47" s="80"/>
      <c r="G47" s="198">
        <v>2</v>
      </c>
      <c r="H47" s="80"/>
      <c r="I47" s="57"/>
      <c r="J47" s="57"/>
      <c r="K47" s="58"/>
      <c r="L47" s="58"/>
      <c r="M47" s="58">
        <v>3</v>
      </c>
      <c r="N47" s="58"/>
      <c r="O47" s="58"/>
      <c r="P47" s="58"/>
      <c r="Q47" s="57">
        <v>5</v>
      </c>
      <c r="R47" s="57">
        <v>5</v>
      </c>
      <c r="S47" s="57">
        <f t="shared" si="0"/>
        <v>13</v>
      </c>
    </row>
    <row r="48" spans="2:19" ht="39.75" customHeight="1">
      <c r="B48" s="198" t="s">
        <v>56</v>
      </c>
      <c r="C48" s="80"/>
      <c r="D48" s="206" t="s">
        <v>167</v>
      </c>
      <c r="E48" s="82"/>
      <c r="F48" s="80"/>
      <c r="G48" s="198">
        <v>2</v>
      </c>
      <c r="H48" s="80"/>
      <c r="I48" s="57">
        <v>3</v>
      </c>
      <c r="J48" s="57"/>
      <c r="K48" s="58"/>
      <c r="L48" s="58"/>
      <c r="M48" s="58"/>
      <c r="N48" s="58"/>
      <c r="O48" s="58"/>
      <c r="P48" s="58"/>
      <c r="Q48" s="57"/>
      <c r="R48" s="57"/>
      <c r="S48" s="57">
        <f t="shared" si="0"/>
        <v>3</v>
      </c>
    </row>
    <row r="49" spans="2:19" ht="39.75" customHeight="1">
      <c r="B49" s="198" t="s">
        <v>57</v>
      </c>
      <c r="C49" s="80"/>
      <c r="D49" s="206" t="s">
        <v>168</v>
      </c>
      <c r="E49" s="82"/>
      <c r="F49" s="80"/>
      <c r="G49" s="198">
        <v>2</v>
      </c>
      <c r="H49" s="80"/>
      <c r="I49" s="57">
        <v>3</v>
      </c>
      <c r="J49" s="57"/>
      <c r="K49" s="58"/>
      <c r="L49" s="58"/>
      <c r="M49" s="58"/>
      <c r="N49" s="58"/>
      <c r="O49" s="58"/>
      <c r="P49" s="58"/>
      <c r="Q49" s="57"/>
      <c r="R49" s="57">
        <v>10</v>
      </c>
      <c r="S49" s="57">
        <f t="shared" si="0"/>
        <v>13</v>
      </c>
    </row>
    <row r="50" spans="2:19" ht="19.5" customHeight="1">
      <c r="B50" s="198" t="s">
        <v>58</v>
      </c>
      <c r="C50" s="80"/>
      <c r="D50" s="206" t="s">
        <v>169</v>
      </c>
      <c r="E50" s="82"/>
      <c r="F50" s="80"/>
      <c r="G50" s="198">
        <v>3</v>
      </c>
      <c r="H50" s="80"/>
      <c r="I50" s="57">
        <v>3</v>
      </c>
      <c r="J50" s="57"/>
      <c r="K50" s="58"/>
      <c r="L50" s="58"/>
      <c r="M50" s="58"/>
      <c r="N50" s="58"/>
      <c r="O50" s="58"/>
      <c r="P50" s="58"/>
      <c r="Q50" s="57"/>
      <c r="R50" s="57">
        <v>10</v>
      </c>
      <c r="S50" s="57">
        <f t="shared" si="0"/>
        <v>13</v>
      </c>
    </row>
    <row r="51" spans="2:19" ht="27.75" customHeight="1">
      <c r="B51" s="198" t="s">
        <v>60</v>
      </c>
      <c r="C51" s="80"/>
      <c r="D51" s="206" t="s">
        <v>170</v>
      </c>
      <c r="E51" s="82"/>
      <c r="F51" s="80"/>
      <c r="G51" s="198">
        <v>3</v>
      </c>
      <c r="H51" s="80"/>
      <c r="I51" s="57">
        <v>3</v>
      </c>
      <c r="J51" s="57"/>
      <c r="K51" s="58"/>
      <c r="L51" s="58"/>
      <c r="M51" s="58"/>
      <c r="N51" s="58"/>
      <c r="O51" s="58"/>
      <c r="P51" s="58"/>
      <c r="Q51" s="57"/>
      <c r="R51" s="57"/>
      <c r="S51" s="57">
        <f t="shared" si="0"/>
        <v>3</v>
      </c>
    </row>
    <row r="52" spans="2:19" ht="27" customHeight="1">
      <c r="B52" s="198" t="s">
        <v>61</v>
      </c>
      <c r="C52" s="80"/>
      <c r="D52" s="206" t="s">
        <v>171</v>
      </c>
      <c r="E52" s="82"/>
      <c r="F52" s="80"/>
      <c r="G52" s="198">
        <v>3</v>
      </c>
      <c r="H52" s="80"/>
      <c r="I52" s="57">
        <v>3</v>
      </c>
      <c r="J52" s="57"/>
      <c r="K52" s="58"/>
      <c r="L52" s="58"/>
      <c r="M52" s="58"/>
      <c r="N52" s="58"/>
      <c r="O52" s="58"/>
      <c r="P52" s="58"/>
      <c r="Q52" s="57"/>
      <c r="R52" s="57"/>
      <c r="S52" s="57">
        <f t="shared" si="0"/>
        <v>3</v>
      </c>
    </row>
    <row r="53" spans="2:19" ht="30" customHeight="1">
      <c r="B53" s="198" t="s">
        <v>62</v>
      </c>
      <c r="C53" s="80"/>
      <c r="D53" s="206" t="s">
        <v>172</v>
      </c>
      <c r="E53" s="82"/>
      <c r="F53" s="80"/>
      <c r="G53" s="198">
        <v>4</v>
      </c>
      <c r="H53" s="80"/>
      <c r="I53" s="57">
        <v>3</v>
      </c>
      <c r="J53" s="57"/>
      <c r="K53" s="58"/>
      <c r="L53" s="58"/>
      <c r="M53" s="58"/>
      <c r="N53" s="58"/>
      <c r="O53" s="58"/>
      <c r="P53" s="58"/>
      <c r="Q53" s="57"/>
      <c r="R53" s="57"/>
      <c r="S53" s="57">
        <f t="shared" si="0"/>
        <v>3</v>
      </c>
    </row>
    <row r="54" spans="2:19" ht="60" customHeight="1">
      <c r="B54" s="198" t="s">
        <v>63</v>
      </c>
      <c r="C54" s="80"/>
      <c r="D54" s="206" t="s">
        <v>173</v>
      </c>
      <c r="E54" s="82"/>
      <c r="F54" s="80"/>
      <c r="G54" s="198">
        <v>5</v>
      </c>
      <c r="H54" s="80"/>
      <c r="I54" s="57">
        <v>3</v>
      </c>
      <c r="J54" s="57"/>
      <c r="K54" s="58"/>
      <c r="L54" s="58"/>
      <c r="M54" s="58"/>
      <c r="N54" s="58"/>
      <c r="O54" s="58"/>
      <c r="P54" s="58"/>
      <c r="Q54" s="57"/>
      <c r="R54" s="57"/>
      <c r="S54" s="57">
        <f t="shared" si="0"/>
        <v>3</v>
      </c>
    </row>
    <row r="55" spans="2:19" ht="49.5" customHeight="1">
      <c r="B55" s="198" t="s">
        <v>64</v>
      </c>
      <c r="C55" s="80"/>
      <c r="D55" s="206" t="s">
        <v>174</v>
      </c>
      <c r="E55" s="82"/>
      <c r="F55" s="80"/>
      <c r="G55" s="198">
        <v>5</v>
      </c>
      <c r="H55" s="80"/>
      <c r="I55" s="57">
        <v>3</v>
      </c>
      <c r="J55" s="57"/>
      <c r="K55" s="58"/>
      <c r="L55" s="58"/>
      <c r="M55" s="58"/>
      <c r="N55" s="58"/>
      <c r="O55" s="58"/>
      <c r="P55" s="58"/>
      <c r="Q55" s="57"/>
      <c r="R55" s="57"/>
      <c r="S55" s="57">
        <f t="shared" si="0"/>
        <v>3</v>
      </c>
    </row>
    <row r="56" spans="2:19" ht="33" customHeight="1">
      <c r="B56" s="198" t="s">
        <v>65</v>
      </c>
      <c r="C56" s="80"/>
      <c r="D56" s="206" t="s">
        <v>175</v>
      </c>
      <c r="E56" s="82"/>
      <c r="F56" s="80"/>
      <c r="G56" s="198">
        <v>4</v>
      </c>
      <c r="H56" s="80"/>
      <c r="I56" s="57">
        <v>3</v>
      </c>
      <c r="J56" s="57"/>
      <c r="K56" s="58"/>
      <c r="L56" s="58"/>
      <c r="M56" s="58"/>
      <c r="N56" s="58"/>
      <c r="O56" s="58"/>
      <c r="P56" s="58"/>
      <c r="Q56" s="57"/>
      <c r="R56" s="57"/>
      <c r="S56" s="57">
        <f t="shared" si="0"/>
        <v>3</v>
      </c>
    </row>
    <row r="57" spans="2:19" ht="19.5" customHeight="1">
      <c r="B57" s="198" t="s">
        <v>66</v>
      </c>
      <c r="C57" s="80"/>
      <c r="D57" s="207"/>
      <c r="E57" s="82"/>
      <c r="F57" s="80"/>
      <c r="G57" s="198"/>
      <c r="H57" s="80"/>
      <c r="I57" s="57"/>
      <c r="J57" s="57"/>
      <c r="K57" s="58"/>
      <c r="L57" s="58"/>
      <c r="M57" s="58"/>
      <c r="N57" s="58"/>
      <c r="O57" s="58"/>
      <c r="P57" s="59"/>
      <c r="Q57" s="57"/>
      <c r="R57" s="57"/>
      <c r="S57" s="57">
        <f t="shared" si="0"/>
        <v>0</v>
      </c>
    </row>
    <row r="58" spans="2:19" ht="15.75" customHeight="1">
      <c r="B58" s="7"/>
      <c r="C58" s="7"/>
      <c r="D58" s="7"/>
      <c r="E58" s="7"/>
      <c r="F58" s="7"/>
      <c r="G58" s="7"/>
      <c r="H58" s="7"/>
      <c r="I58" s="7"/>
      <c r="J58" s="7"/>
      <c r="K58" s="7"/>
      <c r="L58" s="7"/>
      <c r="M58" s="7"/>
      <c r="N58" s="7"/>
      <c r="O58" s="7"/>
      <c r="P58" s="7"/>
      <c r="Q58" s="91" t="s">
        <v>73</v>
      </c>
      <c r="R58" s="80"/>
      <c r="S58" s="60">
        <f>SUM(S43:S57)</f>
        <v>92</v>
      </c>
    </row>
    <row r="59" spans="2:19" ht="15.75" customHeight="1">
      <c r="B59" s="5"/>
      <c r="C59" s="5"/>
      <c r="D59" s="5"/>
      <c r="E59" s="5"/>
      <c r="F59" s="5"/>
      <c r="G59" s="5"/>
      <c r="H59" s="5"/>
      <c r="I59" s="5"/>
      <c r="J59" s="5"/>
      <c r="K59" s="5"/>
      <c r="L59" s="5"/>
      <c r="M59" s="5"/>
      <c r="N59" s="5"/>
      <c r="O59" s="5"/>
      <c r="P59" s="5"/>
      <c r="Q59" s="17"/>
      <c r="R59" s="17"/>
      <c r="S59" s="18"/>
    </row>
    <row r="60" spans="2:19" ht="64.5" customHeight="1">
      <c r="B60" s="105" t="s">
        <v>68</v>
      </c>
      <c r="C60" s="93"/>
      <c r="D60" s="93"/>
      <c r="E60" s="93"/>
      <c r="F60" s="93"/>
      <c r="G60" s="93"/>
      <c r="H60" s="94"/>
      <c r="I60" s="105" t="s">
        <v>69</v>
      </c>
      <c r="J60" s="94"/>
      <c r="K60" s="109" t="s">
        <v>42</v>
      </c>
      <c r="L60" s="82"/>
      <c r="M60" s="82"/>
      <c r="N60" s="82"/>
      <c r="O60" s="82"/>
      <c r="P60" s="80"/>
      <c r="Q60" s="110" t="s">
        <v>70</v>
      </c>
      <c r="R60" s="80"/>
      <c r="S60" s="162" t="s">
        <v>71</v>
      </c>
    </row>
    <row r="61" spans="2:19" ht="36" customHeight="1">
      <c r="B61" s="106"/>
      <c r="C61" s="107"/>
      <c r="D61" s="107"/>
      <c r="E61" s="107"/>
      <c r="F61" s="107"/>
      <c r="G61" s="107"/>
      <c r="H61" s="108"/>
      <c r="I61" s="106"/>
      <c r="J61" s="108"/>
      <c r="K61" s="111" t="s">
        <v>44</v>
      </c>
      <c r="L61" s="93"/>
      <c r="M61" s="160"/>
      <c r="N61" s="92" t="s">
        <v>72</v>
      </c>
      <c r="O61" s="93"/>
      <c r="P61" s="94"/>
      <c r="Q61" s="101" t="s">
        <v>46</v>
      </c>
      <c r="R61" s="103" t="s">
        <v>47</v>
      </c>
      <c r="S61" s="163"/>
    </row>
    <row r="62" spans="2:19" ht="35.25" customHeight="1">
      <c r="B62" s="95"/>
      <c r="C62" s="96"/>
      <c r="D62" s="96"/>
      <c r="E62" s="96"/>
      <c r="F62" s="96"/>
      <c r="G62" s="96"/>
      <c r="H62" s="97"/>
      <c r="I62" s="95"/>
      <c r="J62" s="97"/>
      <c r="K62" s="95"/>
      <c r="L62" s="96"/>
      <c r="M62" s="161"/>
      <c r="N62" s="95"/>
      <c r="O62" s="96"/>
      <c r="P62" s="97"/>
      <c r="Q62" s="102"/>
      <c r="R62" s="104"/>
      <c r="S62" s="102"/>
    </row>
    <row r="63" spans="2:19" ht="18.75" customHeight="1">
      <c r="B63" s="19">
        <v>1</v>
      </c>
      <c r="C63" s="132" t="s">
        <v>113</v>
      </c>
      <c r="D63" s="82"/>
      <c r="E63" s="82"/>
      <c r="F63" s="82"/>
      <c r="G63" s="82"/>
      <c r="H63" s="80"/>
      <c r="I63" s="202">
        <v>10</v>
      </c>
      <c r="J63" s="80"/>
      <c r="K63" s="198"/>
      <c r="L63" s="82"/>
      <c r="M63" s="80"/>
      <c r="N63" s="198">
        <v>1</v>
      </c>
      <c r="O63" s="82"/>
      <c r="P63" s="80"/>
      <c r="Q63" s="20">
        <v>3</v>
      </c>
      <c r="R63" s="20"/>
      <c r="S63" s="21">
        <f t="shared" ref="S63:S67" si="1">SUM(K63:R63)</f>
        <v>4</v>
      </c>
    </row>
    <row r="64" spans="2:19" ht="18.75" customHeight="1">
      <c r="B64" s="19">
        <v>2</v>
      </c>
      <c r="C64" s="132" t="s">
        <v>114</v>
      </c>
      <c r="D64" s="82"/>
      <c r="E64" s="82"/>
      <c r="F64" s="82"/>
      <c r="G64" s="82"/>
      <c r="H64" s="80"/>
      <c r="I64" s="202">
        <v>20</v>
      </c>
      <c r="J64" s="80"/>
      <c r="K64" s="198"/>
      <c r="L64" s="82"/>
      <c r="M64" s="80"/>
      <c r="N64" s="198"/>
      <c r="O64" s="82"/>
      <c r="P64" s="80"/>
      <c r="Q64" s="20">
        <v>5</v>
      </c>
      <c r="R64" s="20"/>
      <c r="S64" s="21">
        <f t="shared" si="1"/>
        <v>5</v>
      </c>
    </row>
    <row r="65" spans="2:19" ht="18.75" customHeight="1">
      <c r="B65" s="19">
        <v>3</v>
      </c>
      <c r="C65" s="132" t="s">
        <v>115</v>
      </c>
      <c r="D65" s="82"/>
      <c r="E65" s="82"/>
      <c r="F65" s="82"/>
      <c r="G65" s="82"/>
      <c r="H65" s="80"/>
      <c r="I65" s="202">
        <v>20</v>
      </c>
      <c r="J65" s="80"/>
      <c r="K65" s="198"/>
      <c r="L65" s="82"/>
      <c r="M65" s="80"/>
      <c r="N65" s="198"/>
      <c r="O65" s="82"/>
      <c r="P65" s="80"/>
      <c r="Q65" s="20">
        <v>10</v>
      </c>
      <c r="R65" s="20"/>
      <c r="S65" s="21">
        <f t="shared" si="1"/>
        <v>10</v>
      </c>
    </row>
    <row r="66" spans="2:19" ht="18.75" customHeight="1">
      <c r="B66" s="19">
        <v>4</v>
      </c>
      <c r="C66" s="132" t="s">
        <v>176</v>
      </c>
      <c r="D66" s="82"/>
      <c r="E66" s="82"/>
      <c r="F66" s="82"/>
      <c r="G66" s="82"/>
      <c r="H66" s="80"/>
      <c r="I66" s="202">
        <v>10</v>
      </c>
      <c r="J66" s="80"/>
      <c r="K66" s="198"/>
      <c r="L66" s="82"/>
      <c r="M66" s="80"/>
      <c r="N66" s="198"/>
      <c r="O66" s="82"/>
      <c r="P66" s="80"/>
      <c r="Q66" s="20"/>
      <c r="R66" s="20"/>
      <c r="S66" s="21">
        <f t="shared" si="1"/>
        <v>0</v>
      </c>
    </row>
    <row r="67" spans="2:19" ht="18.75" customHeight="1">
      <c r="B67" s="19">
        <v>5</v>
      </c>
      <c r="C67" s="132"/>
      <c r="D67" s="82"/>
      <c r="E67" s="82"/>
      <c r="F67" s="82"/>
      <c r="G67" s="82"/>
      <c r="H67" s="80"/>
      <c r="I67" s="202"/>
      <c r="J67" s="80"/>
      <c r="K67" s="198"/>
      <c r="L67" s="82"/>
      <c r="M67" s="80"/>
      <c r="N67" s="198"/>
      <c r="O67" s="82"/>
      <c r="P67" s="80"/>
      <c r="Q67" s="20"/>
      <c r="R67" s="20"/>
      <c r="S67" s="21">
        <f t="shared" si="1"/>
        <v>0</v>
      </c>
    </row>
    <row r="68" spans="2:19" ht="18.75" customHeight="1">
      <c r="Q68" s="176" t="s">
        <v>73</v>
      </c>
      <c r="R68" s="80"/>
      <c r="S68" s="23">
        <f>SUM(S63:S67)</f>
        <v>19</v>
      </c>
    </row>
    <row r="69" spans="2:19" ht="18.75" customHeight="1">
      <c r="Q69" s="24"/>
      <c r="R69" s="24"/>
    </row>
    <row r="70" spans="2:19" ht="18.75" customHeight="1">
      <c r="Q70" s="24"/>
      <c r="R70" s="24"/>
    </row>
    <row r="71" spans="2:19" ht="33.75" customHeight="1">
      <c r="B71" s="105" t="s">
        <v>74</v>
      </c>
      <c r="C71" s="93"/>
      <c r="D71" s="93"/>
      <c r="E71" s="93"/>
      <c r="F71" s="93"/>
      <c r="G71" s="93"/>
      <c r="H71" s="94"/>
      <c r="I71" s="105" t="s">
        <v>69</v>
      </c>
      <c r="J71" s="94"/>
      <c r="K71" s="109" t="s">
        <v>42</v>
      </c>
      <c r="L71" s="82"/>
      <c r="M71" s="82"/>
      <c r="N71" s="82"/>
      <c r="O71" s="82"/>
      <c r="P71" s="80"/>
      <c r="Q71" s="177" t="s">
        <v>75</v>
      </c>
      <c r="R71" s="80"/>
      <c r="S71" s="178" t="s">
        <v>71</v>
      </c>
    </row>
    <row r="72" spans="2:19" ht="18.75" customHeight="1">
      <c r="B72" s="106"/>
      <c r="C72" s="107"/>
      <c r="D72" s="107"/>
      <c r="E72" s="107"/>
      <c r="F72" s="107"/>
      <c r="G72" s="107"/>
      <c r="H72" s="108"/>
      <c r="I72" s="106"/>
      <c r="J72" s="108"/>
      <c r="K72" s="111" t="s">
        <v>44</v>
      </c>
      <c r="L72" s="93"/>
      <c r="M72" s="94"/>
      <c r="N72" s="92" t="s">
        <v>72</v>
      </c>
      <c r="O72" s="93"/>
      <c r="P72" s="94"/>
      <c r="Q72" s="98" t="s">
        <v>46</v>
      </c>
      <c r="R72" s="181" t="s">
        <v>47</v>
      </c>
      <c r="S72" s="179"/>
    </row>
    <row r="73" spans="2:19" ht="48" customHeight="1">
      <c r="B73" s="95"/>
      <c r="C73" s="96"/>
      <c r="D73" s="96"/>
      <c r="E73" s="96"/>
      <c r="F73" s="96"/>
      <c r="G73" s="96"/>
      <c r="H73" s="97"/>
      <c r="I73" s="95"/>
      <c r="J73" s="97"/>
      <c r="K73" s="95"/>
      <c r="L73" s="96"/>
      <c r="M73" s="97"/>
      <c r="N73" s="95"/>
      <c r="O73" s="96"/>
      <c r="P73" s="97"/>
      <c r="Q73" s="99"/>
      <c r="R73" s="104"/>
      <c r="S73" s="180"/>
    </row>
    <row r="74" spans="2:19" ht="18.75" customHeight="1">
      <c r="B74" s="19">
        <v>1</v>
      </c>
      <c r="C74" s="200" t="s">
        <v>116</v>
      </c>
      <c r="D74" s="82"/>
      <c r="E74" s="82"/>
      <c r="F74" s="82"/>
      <c r="G74" s="82"/>
      <c r="H74" s="80"/>
      <c r="I74" s="202">
        <v>40</v>
      </c>
      <c r="J74" s="80"/>
      <c r="K74" s="198">
        <v>3</v>
      </c>
      <c r="L74" s="82"/>
      <c r="M74" s="80"/>
      <c r="N74" s="198"/>
      <c r="O74" s="82"/>
      <c r="P74" s="80"/>
      <c r="Q74" s="20">
        <v>6</v>
      </c>
      <c r="R74" s="20"/>
      <c r="S74" s="21">
        <f t="shared" ref="S74:S78" si="2">SUM(K74:R74)</f>
        <v>9</v>
      </c>
    </row>
    <row r="75" spans="2:19" ht="18.75" customHeight="1">
      <c r="B75" s="19">
        <v>2</v>
      </c>
      <c r="C75" s="200"/>
      <c r="D75" s="82"/>
      <c r="E75" s="82"/>
      <c r="F75" s="82"/>
      <c r="G75" s="82"/>
      <c r="H75" s="80"/>
      <c r="I75" s="202"/>
      <c r="J75" s="80"/>
      <c r="K75" s="198"/>
      <c r="L75" s="82"/>
      <c r="M75" s="80"/>
      <c r="N75" s="198"/>
      <c r="O75" s="82"/>
      <c r="P75" s="80"/>
      <c r="Q75" s="20"/>
      <c r="R75" s="20"/>
      <c r="S75" s="21">
        <f t="shared" si="2"/>
        <v>0</v>
      </c>
    </row>
    <row r="76" spans="2:19" ht="18.75" customHeight="1">
      <c r="B76" s="19">
        <v>3</v>
      </c>
      <c r="C76" s="200"/>
      <c r="D76" s="82"/>
      <c r="E76" s="82"/>
      <c r="F76" s="82"/>
      <c r="G76" s="82"/>
      <c r="H76" s="80"/>
      <c r="I76" s="202"/>
      <c r="J76" s="80"/>
      <c r="K76" s="198"/>
      <c r="L76" s="82"/>
      <c r="M76" s="80"/>
      <c r="N76" s="198"/>
      <c r="O76" s="82"/>
      <c r="P76" s="80"/>
      <c r="Q76" s="20"/>
      <c r="R76" s="20"/>
      <c r="S76" s="21">
        <f t="shared" si="2"/>
        <v>0</v>
      </c>
    </row>
    <row r="77" spans="2:19" ht="18.75" customHeight="1">
      <c r="B77" s="19">
        <v>4</v>
      </c>
      <c r="C77" s="200"/>
      <c r="D77" s="82"/>
      <c r="E77" s="82"/>
      <c r="F77" s="82"/>
      <c r="G77" s="82"/>
      <c r="H77" s="80"/>
      <c r="I77" s="202"/>
      <c r="J77" s="80"/>
      <c r="K77" s="198"/>
      <c r="L77" s="82"/>
      <c r="M77" s="80"/>
      <c r="N77" s="198"/>
      <c r="O77" s="82"/>
      <c r="P77" s="80"/>
      <c r="Q77" s="20"/>
      <c r="R77" s="20"/>
      <c r="S77" s="21">
        <f t="shared" si="2"/>
        <v>0</v>
      </c>
    </row>
    <row r="78" spans="2:19" ht="18.75" customHeight="1">
      <c r="B78" s="19">
        <v>5</v>
      </c>
      <c r="C78" s="200"/>
      <c r="D78" s="82"/>
      <c r="E78" s="82"/>
      <c r="F78" s="82"/>
      <c r="G78" s="82"/>
      <c r="H78" s="80"/>
      <c r="I78" s="202"/>
      <c r="J78" s="80"/>
      <c r="K78" s="198"/>
      <c r="L78" s="82"/>
      <c r="M78" s="80"/>
      <c r="N78" s="198"/>
      <c r="O78" s="82"/>
      <c r="P78" s="80"/>
      <c r="Q78" s="20"/>
      <c r="R78" s="20"/>
      <c r="S78" s="21">
        <f t="shared" si="2"/>
        <v>0</v>
      </c>
    </row>
    <row r="79" spans="2:19" ht="18.75" customHeight="1">
      <c r="Q79" s="176" t="s">
        <v>73</v>
      </c>
      <c r="R79" s="80"/>
      <c r="S79" s="23">
        <f>SUM(S74:S78)</f>
        <v>9</v>
      </c>
    </row>
    <row r="80" spans="2:19" ht="18.75" customHeight="1">
      <c r="Q80" s="91" t="s">
        <v>76</v>
      </c>
      <c r="R80" s="80"/>
      <c r="S80" s="23">
        <f>SUM(S74:S78)+SUM(S63:S67)</f>
        <v>28</v>
      </c>
    </row>
    <row r="81" spans="1:19" ht="18.75" customHeight="1">
      <c r="Q81" s="61" t="s">
        <v>77</v>
      </c>
      <c r="R81" s="61"/>
      <c r="S81" s="23">
        <f>S79+S68+S58</f>
        <v>120</v>
      </c>
    </row>
    <row r="82" spans="1:19" ht="21" customHeight="1">
      <c r="B82" s="16" t="s">
        <v>26</v>
      </c>
      <c r="C82" s="189" t="s">
        <v>177</v>
      </c>
      <c r="D82" s="82"/>
      <c r="E82" s="82"/>
      <c r="F82" s="82"/>
      <c r="G82" s="82"/>
      <c r="H82" s="82"/>
      <c r="I82" s="82"/>
      <c r="J82" s="82"/>
      <c r="K82" s="82"/>
      <c r="L82" s="82"/>
      <c r="M82" s="82"/>
      <c r="N82" s="82"/>
      <c r="O82" s="82"/>
      <c r="P82" s="80"/>
      <c r="Q82" s="194">
        <f>(SUM(I43:L57)+SUM(K63:M67)+SUM(K74:M78))/(SUM(I43:R57)+SUM(K63:R67)+SUM(K74:R78))*100</f>
        <v>30</v>
      </c>
      <c r="R82" s="82"/>
      <c r="S82" s="80"/>
    </row>
    <row r="83" spans="1:19" ht="18.75" customHeight="1">
      <c r="B83" s="16" t="s">
        <v>79</v>
      </c>
      <c r="C83" s="189" t="s">
        <v>178</v>
      </c>
      <c r="D83" s="82"/>
      <c r="E83" s="82"/>
      <c r="F83" s="82"/>
      <c r="G83" s="82"/>
      <c r="H83" s="82"/>
      <c r="I83" s="82"/>
      <c r="J83" s="82"/>
      <c r="K83" s="82"/>
      <c r="L83" s="82"/>
      <c r="M83" s="82"/>
      <c r="N83" s="82"/>
      <c r="O83" s="82"/>
      <c r="P83" s="80"/>
      <c r="Q83" s="194">
        <f>(SUM(M43:P57)+SUM(N63:P67)+SUM(N74:P78)+SUM(Q43:R57)+SUM(Q63:R67)+SUM(Q74:R78))/(SUM(I43:R57)+SUM(K63:R67)+SUM(K74:R78))*100</f>
        <v>70</v>
      </c>
      <c r="R83" s="82"/>
      <c r="S83" s="80"/>
    </row>
    <row r="84" spans="1:19" ht="21" customHeight="1">
      <c r="B84" s="16" t="s">
        <v>81</v>
      </c>
      <c r="C84" s="189" t="s">
        <v>179</v>
      </c>
      <c r="D84" s="82"/>
      <c r="E84" s="82"/>
      <c r="F84" s="82"/>
      <c r="G84" s="82"/>
      <c r="H84" s="82"/>
      <c r="I84" s="82"/>
      <c r="J84" s="82"/>
      <c r="K84" s="82"/>
      <c r="L84" s="82"/>
      <c r="M84" s="82"/>
      <c r="N84" s="82"/>
      <c r="O84" s="82"/>
      <c r="P84" s="80"/>
      <c r="Q84" s="194">
        <f>(SUM(M43:P57)+SUM(Q43:Q57)+SUM(N63:P67))/S81*100</f>
        <v>20.833333333333336</v>
      </c>
      <c r="R84" s="82"/>
      <c r="S84" s="80"/>
    </row>
    <row r="85" spans="1:19" ht="18" customHeight="1">
      <c r="B85" s="16" t="s">
        <v>83</v>
      </c>
      <c r="C85" s="189" t="s">
        <v>180</v>
      </c>
      <c r="D85" s="82"/>
      <c r="E85" s="82"/>
      <c r="F85" s="82"/>
      <c r="G85" s="82"/>
      <c r="H85" s="82"/>
      <c r="I85" s="82"/>
      <c r="J85" s="82"/>
      <c r="K85" s="82"/>
      <c r="L85" s="82"/>
      <c r="M85" s="82"/>
      <c r="N85" s="82"/>
      <c r="O85" s="82"/>
      <c r="P85" s="80"/>
      <c r="Q85" s="190">
        <f>Q86+Q87</f>
        <v>1.6666666666666667</v>
      </c>
      <c r="R85" s="82"/>
      <c r="S85" s="80"/>
    </row>
    <row r="86" spans="1:19" ht="18" customHeight="1">
      <c r="B86" s="16" t="s">
        <v>85</v>
      </c>
      <c r="C86" s="189" t="s">
        <v>181</v>
      </c>
      <c r="D86" s="82"/>
      <c r="E86" s="82"/>
      <c r="F86" s="82"/>
      <c r="G86" s="82"/>
      <c r="H86" s="82"/>
      <c r="I86" s="82"/>
      <c r="J86" s="82"/>
      <c r="K86" s="82"/>
      <c r="L86" s="82"/>
      <c r="M86" s="82"/>
      <c r="N86" s="82"/>
      <c r="O86" s="82"/>
      <c r="P86" s="80"/>
      <c r="Q86" s="190">
        <f>(SUM(K43:K57))/(SUM(I43:R57)+SUM(K63:R67)+SUM(K74:R78))*100</f>
        <v>1.6666666666666667</v>
      </c>
      <c r="R86" s="82"/>
      <c r="S86" s="80"/>
    </row>
    <row r="87" spans="1:19" ht="16.5" customHeight="1">
      <c r="B87" s="16" t="s">
        <v>87</v>
      </c>
      <c r="C87" s="189" t="s">
        <v>182</v>
      </c>
      <c r="D87" s="82"/>
      <c r="E87" s="82"/>
      <c r="F87" s="82"/>
      <c r="G87" s="82"/>
      <c r="H87" s="82"/>
      <c r="I87" s="82"/>
      <c r="J87" s="82"/>
      <c r="K87" s="82"/>
      <c r="L87" s="82"/>
      <c r="M87" s="82"/>
      <c r="N87" s="82"/>
      <c r="O87" s="82"/>
      <c r="P87" s="80"/>
      <c r="Q87" s="190">
        <f>(SUM(O43:O57))/(SUM(I43:R57)+SUM(K63:R67)+SUM(K74:R78))*100</f>
        <v>0</v>
      </c>
      <c r="R87" s="82"/>
      <c r="S87" s="80"/>
    </row>
    <row r="88" spans="1:19" ht="14.25" customHeight="1">
      <c r="B88" s="191" t="s">
        <v>183</v>
      </c>
      <c r="C88" s="93"/>
      <c r="D88" s="93"/>
      <c r="E88" s="93"/>
      <c r="F88" s="93"/>
      <c r="G88" s="93"/>
      <c r="H88" s="93"/>
      <c r="I88" s="93"/>
      <c r="J88" s="93"/>
      <c r="K88" s="93"/>
      <c r="L88" s="93"/>
      <c r="M88" s="93"/>
      <c r="N88" s="93"/>
      <c r="O88" s="93"/>
      <c r="P88" s="94"/>
      <c r="Q88" s="192"/>
      <c r="R88" s="93"/>
      <c r="S88" s="94"/>
    </row>
    <row r="89" spans="1:19" ht="93.75" customHeight="1">
      <c r="B89" s="95"/>
      <c r="C89" s="96"/>
      <c r="D89" s="96"/>
      <c r="E89" s="96"/>
      <c r="F89" s="96"/>
      <c r="G89" s="96"/>
      <c r="H89" s="96"/>
      <c r="I89" s="96"/>
      <c r="J89" s="96"/>
      <c r="K89" s="96"/>
      <c r="L89" s="96"/>
      <c r="M89" s="96"/>
      <c r="N89" s="96"/>
      <c r="O89" s="96"/>
      <c r="P89" s="97"/>
      <c r="Q89" s="95"/>
      <c r="R89" s="96"/>
      <c r="S89" s="97"/>
    </row>
    <row r="90" spans="1:19" ht="15.75" customHeight="1">
      <c r="B90" s="30"/>
      <c r="C90" s="30"/>
      <c r="D90" s="30"/>
      <c r="E90" s="30"/>
      <c r="F90" s="30"/>
      <c r="G90" s="30"/>
      <c r="H90" s="30"/>
      <c r="I90" s="30"/>
      <c r="J90" s="30"/>
      <c r="K90" s="30"/>
      <c r="L90" s="30"/>
      <c r="M90" s="30"/>
      <c r="N90" s="30"/>
      <c r="O90" s="30"/>
      <c r="P90" s="30"/>
      <c r="Q90" s="30"/>
      <c r="R90" s="30"/>
      <c r="S90" s="30"/>
    </row>
    <row r="91" spans="1:19" ht="30.75" customHeight="1">
      <c r="B91" s="184" t="s">
        <v>123</v>
      </c>
      <c r="C91" s="82"/>
      <c r="D91" s="82"/>
      <c r="E91" s="82"/>
      <c r="F91" s="82"/>
      <c r="G91" s="82"/>
      <c r="H91" s="82"/>
      <c r="I91" s="82"/>
      <c r="J91" s="82"/>
      <c r="K91" s="82"/>
      <c r="L91" s="82"/>
      <c r="M91" s="82"/>
      <c r="N91" s="82"/>
      <c r="O91" s="82"/>
      <c r="P91" s="82"/>
      <c r="Q91" s="82"/>
      <c r="R91" s="82"/>
      <c r="S91" s="80"/>
    </row>
    <row r="92" spans="1:19" ht="20.25" customHeight="1">
      <c r="A92" s="5"/>
      <c r="B92" s="184" t="s">
        <v>184</v>
      </c>
      <c r="C92" s="82"/>
      <c r="D92" s="82"/>
      <c r="E92" s="82"/>
      <c r="F92" s="82"/>
      <c r="G92" s="82"/>
      <c r="H92" s="82"/>
      <c r="I92" s="82"/>
      <c r="J92" s="82"/>
      <c r="K92" s="82"/>
      <c r="L92" s="82"/>
      <c r="M92" s="82"/>
      <c r="N92" s="82"/>
      <c r="O92" s="82"/>
      <c r="P92" s="82"/>
      <c r="Q92" s="82"/>
      <c r="R92" s="82"/>
      <c r="S92" s="80"/>
    </row>
    <row r="93" spans="1:19" ht="18" customHeight="1">
      <c r="A93" s="5"/>
      <c r="B93" s="185"/>
      <c r="C93" s="107"/>
      <c r="D93" s="107"/>
      <c r="E93" s="107"/>
      <c r="F93" s="107"/>
      <c r="G93" s="107"/>
      <c r="H93" s="107"/>
      <c r="I93" s="107"/>
      <c r="J93" s="107"/>
      <c r="K93" s="107"/>
      <c r="L93" s="107"/>
      <c r="M93" s="107"/>
      <c r="N93" s="107"/>
      <c r="O93" s="107"/>
      <c r="P93" s="107"/>
      <c r="Q93" s="107"/>
      <c r="R93" s="107"/>
      <c r="S93" s="107"/>
    </row>
    <row r="94" spans="1:19" ht="19.5" customHeight="1">
      <c r="B94" s="184" t="s">
        <v>91</v>
      </c>
      <c r="C94" s="82"/>
      <c r="D94" s="82"/>
      <c r="E94" s="82"/>
      <c r="F94" s="82"/>
      <c r="G94" s="82"/>
      <c r="H94" s="82"/>
      <c r="I94" s="82"/>
      <c r="J94" s="82"/>
      <c r="K94" s="82"/>
      <c r="L94" s="82"/>
      <c r="M94" s="82"/>
      <c r="N94" s="82"/>
      <c r="O94" s="82"/>
      <c r="P94" s="82"/>
      <c r="Q94" s="82"/>
      <c r="R94" s="82"/>
      <c r="S94" s="80"/>
    </row>
    <row r="95" spans="1:19" ht="306" customHeight="1">
      <c r="B95" s="183" t="s">
        <v>185</v>
      </c>
      <c r="C95" s="82"/>
      <c r="D95" s="82"/>
      <c r="E95" s="82"/>
      <c r="F95" s="82"/>
      <c r="G95" s="82"/>
      <c r="H95" s="82"/>
      <c r="I95" s="82"/>
      <c r="J95" s="82"/>
      <c r="K95" s="82"/>
      <c r="L95" s="82"/>
      <c r="M95" s="82"/>
      <c r="N95" s="82"/>
      <c r="O95" s="82"/>
      <c r="P95" s="82"/>
      <c r="Q95" s="82"/>
      <c r="R95" s="82"/>
      <c r="S95" s="80"/>
    </row>
    <row r="96" spans="1:19" ht="17.25" customHeight="1">
      <c r="B96" s="32"/>
      <c r="C96" s="32"/>
      <c r="D96" s="32"/>
      <c r="E96" s="32"/>
      <c r="F96" s="32"/>
      <c r="G96" s="32"/>
      <c r="H96" s="32"/>
      <c r="I96" s="32"/>
      <c r="J96" s="32"/>
      <c r="K96" s="32"/>
      <c r="L96" s="32"/>
      <c r="M96" s="32"/>
      <c r="N96" s="32"/>
      <c r="O96" s="32"/>
      <c r="P96" s="33"/>
      <c r="Q96" s="33"/>
      <c r="R96" s="33"/>
      <c r="S96" s="33"/>
    </row>
    <row r="97" spans="2:19" ht="21" customHeight="1">
      <c r="B97" s="186" t="s">
        <v>92</v>
      </c>
      <c r="C97" s="82"/>
      <c r="D97" s="82"/>
      <c r="E97" s="82"/>
      <c r="F97" s="82"/>
      <c r="G97" s="82"/>
      <c r="H97" s="82"/>
      <c r="I97" s="82"/>
      <c r="J97" s="82"/>
      <c r="K97" s="82"/>
      <c r="L97" s="82"/>
      <c r="M97" s="82"/>
      <c r="N97" s="82"/>
      <c r="O97" s="82"/>
      <c r="P97" s="82"/>
      <c r="Q97" s="82"/>
      <c r="R97" s="82"/>
      <c r="S97" s="80"/>
    </row>
    <row r="98" spans="2:19" ht="21.75" customHeight="1">
      <c r="B98" s="187" t="s">
        <v>186</v>
      </c>
      <c r="C98" s="82"/>
      <c r="D98" s="82"/>
      <c r="E98" s="82"/>
      <c r="F98" s="82"/>
      <c r="G98" s="82"/>
      <c r="H98" s="82"/>
      <c r="I98" s="82"/>
      <c r="J98" s="82"/>
      <c r="K98" s="82"/>
      <c r="L98" s="82"/>
      <c r="M98" s="82"/>
      <c r="N98" s="82"/>
      <c r="O98" s="82"/>
      <c r="P98" s="82"/>
      <c r="Q98" s="82"/>
      <c r="R98" s="82"/>
      <c r="S98" s="80"/>
    </row>
    <row r="99" spans="2:19" ht="142.5" customHeight="1">
      <c r="B99" s="183" t="s">
        <v>125</v>
      </c>
      <c r="C99" s="82"/>
      <c r="D99" s="82"/>
      <c r="E99" s="82"/>
      <c r="F99" s="82"/>
      <c r="G99" s="82"/>
      <c r="H99" s="82"/>
      <c r="I99" s="82"/>
      <c r="J99" s="82"/>
      <c r="K99" s="82"/>
      <c r="L99" s="82"/>
      <c r="M99" s="82"/>
      <c r="N99" s="82"/>
      <c r="O99" s="82"/>
      <c r="P99" s="82"/>
      <c r="Q99" s="82"/>
      <c r="R99" s="82"/>
      <c r="S99" s="80"/>
    </row>
    <row r="100" spans="2:19" ht="30" customHeight="1">
      <c r="B100" s="193" t="s">
        <v>92</v>
      </c>
      <c r="C100" s="93"/>
      <c r="D100" s="93"/>
      <c r="E100" s="93"/>
      <c r="F100" s="93"/>
      <c r="G100" s="93"/>
      <c r="H100" s="93"/>
      <c r="I100" s="93"/>
      <c r="J100" s="93"/>
      <c r="K100" s="93"/>
      <c r="L100" s="93"/>
      <c r="M100" s="93"/>
      <c r="N100" s="93"/>
      <c r="O100" s="93"/>
      <c r="P100" s="93"/>
      <c r="Q100" s="93"/>
      <c r="R100" s="93"/>
      <c r="S100" s="93"/>
    </row>
    <row r="101" spans="2:19" ht="24" customHeight="1">
      <c r="B101" s="203"/>
      <c r="C101" s="93"/>
      <c r="D101" s="93"/>
      <c r="E101" s="93"/>
      <c r="F101" s="93"/>
      <c r="G101" s="93"/>
      <c r="H101" s="93"/>
      <c r="I101" s="93"/>
      <c r="J101" s="93"/>
      <c r="K101" s="93"/>
      <c r="L101" s="93"/>
      <c r="M101" s="93"/>
      <c r="N101" s="93"/>
      <c r="O101" s="93"/>
      <c r="P101" s="93"/>
      <c r="Q101" s="93"/>
      <c r="R101" s="93"/>
      <c r="S101" s="94"/>
    </row>
    <row r="102" spans="2:19" ht="36.75" customHeight="1">
      <c r="B102" s="95"/>
      <c r="C102" s="96"/>
      <c r="D102" s="96"/>
      <c r="E102" s="96"/>
      <c r="F102" s="96"/>
      <c r="G102" s="96"/>
      <c r="H102" s="96"/>
      <c r="I102" s="96"/>
      <c r="J102" s="96"/>
      <c r="K102" s="96"/>
      <c r="L102" s="96"/>
      <c r="M102" s="96"/>
      <c r="N102" s="96"/>
      <c r="O102" s="96"/>
      <c r="P102" s="96"/>
      <c r="Q102" s="96"/>
      <c r="R102" s="96"/>
      <c r="S102" s="97"/>
    </row>
    <row r="103" spans="2:19" ht="32.25" customHeight="1">
      <c r="B103" s="204" t="s">
        <v>96</v>
      </c>
      <c r="C103" s="82"/>
      <c r="D103" s="82"/>
      <c r="E103" s="82"/>
      <c r="F103" s="82"/>
      <c r="G103" s="82"/>
      <c r="H103" s="82"/>
      <c r="I103" s="82"/>
      <c r="J103" s="82"/>
      <c r="K103" s="82"/>
      <c r="L103" s="82"/>
      <c r="M103" s="82"/>
      <c r="N103" s="82"/>
      <c r="O103" s="82"/>
      <c r="P103" s="82"/>
      <c r="Q103" s="82"/>
      <c r="R103" s="82"/>
      <c r="S103" s="82"/>
    </row>
    <row r="104" spans="2:19" ht="85.5" customHeight="1">
      <c r="B104" s="183" t="s">
        <v>97</v>
      </c>
      <c r="C104" s="82"/>
      <c r="D104" s="82"/>
      <c r="E104" s="82"/>
      <c r="F104" s="82"/>
      <c r="G104" s="82"/>
      <c r="H104" s="82"/>
      <c r="I104" s="82"/>
      <c r="J104" s="82"/>
      <c r="K104" s="82"/>
      <c r="L104" s="82"/>
      <c r="M104" s="82"/>
      <c r="N104" s="82"/>
      <c r="O104" s="82"/>
      <c r="P104" s="82"/>
      <c r="Q104" s="82"/>
      <c r="R104" s="82"/>
      <c r="S104" s="80"/>
    </row>
    <row r="105" spans="2:19" ht="18" customHeight="1">
      <c r="R105" s="5"/>
      <c r="S105" s="5"/>
    </row>
    <row r="106" spans="2:19" ht="19.5" customHeight="1">
      <c r="B106" s="7" t="s">
        <v>98</v>
      </c>
      <c r="C106" s="7"/>
      <c r="D106" s="7"/>
      <c r="E106" s="7"/>
      <c r="F106" s="7"/>
      <c r="G106" s="7"/>
      <c r="H106" s="7"/>
      <c r="I106" s="7"/>
      <c r="J106" s="7"/>
      <c r="K106" s="7"/>
      <c r="L106" s="7"/>
      <c r="M106" s="7"/>
      <c r="N106" s="7"/>
      <c r="O106" s="7"/>
      <c r="P106" s="7"/>
      <c r="R106" s="5"/>
      <c r="S106" s="5"/>
    </row>
    <row r="107" spans="2:19" ht="15.75" customHeight="1">
      <c r="B107" s="5" t="s">
        <v>99</v>
      </c>
    </row>
    <row r="108" spans="2:19" ht="15.75" customHeight="1"/>
    <row r="109" spans="2:19" ht="18" customHeight="1"/>
    <row r="110" spans="2:19" ht="15.75" customHeight="1"/>
    <row r="111" spans="2:19" ht="15.75" customHeight="1"/>
    <row r="112" spans="2:19" ht="15.75" customHeight="1"/>
    <row r="113" ht="15.75" customHeight="1"/>
    <row r="114" ht="63.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16">
    <mergeCell ref="B88:P89"/>
    <mergeCell ref="Q88:S89"/>
    <mergeCell ref="B91:S91"/>
    <mergeCell ref="B92:S92"/>
    <mergeCell ref="B93:S93"/>
    <mergeCell ref="B103:S103"/>
    <mergeCell ref="B104:S104"/>
    <mergeCell ref="B94:S94"/>
    <mergeCell ref="B95:S95"/>
    <mergeCell ref="B97:S97"/>
    <mergeCell ref="B98:S98"/>
    <mergeCell ref="B99:S99"/>
    <mergeCell ref="B100:S100"/>
    <mergeCell ref="B101:S102"/>
    <mergeCell ref="Q83:S83"/>
    <mergeCell ref="C83:P83"/>
    <mergeCell ref="C84:P84"/>
    <mergeCell ref="Q84:S84"/>
    <mergeCell ref="C85:P85"/>
    <mergeCell ref="Q85:S85"/>
    <mergeCell ref="C86:P86"/>
    <mergeCell ref="Q86:S86"/>
    <mergeCell ref="C87:P87"/>
    <mergeCell ref="Q87:S87"/>
    <mergeCell ref="K76:M76"/>
    <mergeCell ref="N76:P76"/>
    <mergeCell ref="K77:M77"/>
    <mergeCell ref="N77:P77"/>
    <mergeCell ref="K78:M78"/>
    <mergeCell ref="N78:P78"/>
    <mergeCell ref="Q79:R79"/>
    <mergeCell ref="Q80:R80"/>
    <mergeCell ref="C82:P82"/>
    <mergeCell ref="Q82:S82"/>
    <mergeCell ref="C78:H78"/>
    <mergeCell ref="I78:J78"/>
    <mergeCell ref="C76:H76"/>
    <mergeCell ref="I76:J76"/>
    <mergeCell ref="C77:H77"/>
    <mergeCell ref="I77:J77"/>
    <mergeCell ref="K66:M66"/>
    <mergeCell ref="N66:P66"/>
    <mergeCell ref="K67:M67"/>
    <mergeCell ref="N67:P67"/>
    <mergeCell ref="Q68:R68"/>
    <mergeCell ref="K71:P71"/>
    <mergeCell ref="K74:M74"/>
    <mergeCell ref="K75:M75"/>
    <mergeCell ref="N75:P75"/>
    <mergeCell ref="Q71:R71"/>
    <mergeCell ref="S60:S62"/>
    <mergeCell ref="Q61:Q62"/>
    <mergeCell ref="R61:R62"/>
    <mergeCell ref="K63:M63"/>
    <mergeCell ref="N63:P63"/>
    <mergeCell ref="K64:M64"/>
    <mergeCell ref="N64:P64"/>
    <mergeCell ref="N65:P65"/>
    <mergeCell ref="K65:M65"/>
    <mergeCell ref="B7:F7"/>
    <mergeCell ref="G7:M7"/>
    <mergeCell ref="N7:P7"/>
    <mergeCell ref="Q7:S7"/>
    <mergeCell ref="B8:F8"/>
    <mergeCell ref="G8:S8"/>
    <mergeCell ref="G10:S10"/>
    <mergeCell ref="R14:S14"/>
    <mergeCell ref="R15:S15"/>
    <mergeCell ref="G11:S11"/>
    <mergeCell ref="G12:O12"/>
    <mergeCell ref="R12:S12"/>
    <mergeCell ref="G13:O13"/>
    <mergeCell ref="R13:S13"/>
    <mergeCell ref="G14:O14"/>
    <mergeCell ref="G15:O15"/>
    <mergeCell ref="B10:F10"/>
    <mergeCell ref="B11:F11"/>
    <mergeCell ref="B12:F15"/>
    <mergeCell ref="N6:P6"/>
    <mergeCell ref="Q6:S6"/>
    <mergeCell ref="B2:S2"/>
    <mergeCell ref="B4:F4"/>
    <mergeCell ref="G4:S4"/>
    <mergeCell ref="B5:F5"/>
    <mergeCell ref="G5:S5"/>
    <mergeCell ref="B6:F6"/>
    <mergeCell ref="G6:M6"/>
    <mergeCell ref="B20:C20"/>
    <mergeCell ref="B21:C21"/>
    <mergeCell ref="B22:C22"/>
    <mergeCell ref="B23:C23"/>
    <mergeCell ref="D22:K22"/>
    <mergeCell ref="L22:M22"/>
    <mergeCell ref="L23:M23"/>
    <mergeCell ref="D23:K23"/>
    <mergeCell ref="B17:S18"/>
    <mergeCell ref="D20:K20"/>
    <mergeCell ref="L20:M20"/>
    <mergeCell ref="N20:P20"/>
    <mergeCell ref="D21:K21"/>
    <mergeCell ref="L21:M21"/>
    <mergeCell ref="N21:P21"/>
    <mergeCell ref="B24:C24"/>
    <mergeCell ref="B25:C25"/>
    <mergeCell ref="N22:P22"/>
    <mergeCell ref="R22:S22"/>
    <mergeCell ref="N23:P23"/>
    <mergeCell ref="R23:S23"/>
    <mergeCell ref="D24:K24"/>
    <mergeCell ref="L24:M24"/>
    <mergeCell ref="N24:P24"/>
    <mergeCell ref="D25:K25"/>
    <mergeCell ref="L25:M25"/>
    <mergeCell ref="N25:P25"/>
    <mergeCell ref="R24:S24"/>
    <mergeCell ref="R25:S25"/>
    <mergeCell ref="S71:S73"/>
    <mergeCell ref="K72:M73"/>
    <mergeCell ref="N72:P73"/>
    <mergeCell ref="Q72:Q73"/>
    <mergeCell ref="R72:R73"/>
    <mergeCell ref="N74:P74"/>
    <mergeCell ref="R20:S20"/>
    <mergeCell ref="R21:S21"/>
    <mergeCell ref="B26:S26"/>
    <mergeCell ref="B29:S29"/>
    <mergeCell ref="C30:K30"/>
    <mergeCell ref="L30:S30"/>
    <mergeCell ref="C31:K31"/>
    <mergeCell ref="L31:S31"/>
    <mergeCell ref="L32:S32"/>
    <mergeCell ref="K61:M62"/>
    <mergeCell ref="N61:P62"/>
    <mergeCell ref="B53:C53"/>
    <mergeCell ref="D53:F53"/>
    <mergeCell ref="G53:H53"/>
    <mergeCell ref="Q58:R58"/>
    <mergeCell ref="K60:P60"/>
    <mergeCell ref="Q60:R60"/>
    <mergeCell ref="B46:C46"/>
    <mergeCell ref="D46:F46"/>
    <mergeCell ref="G46:H46"/>
    <mergeCell ref="D49:F49"/>
    <mergeCell ref="G49:H49"/>
    <mergeCell ref="B47:C47"/>
    <mergeCell ref="D47:F47"/>
    <mergeCell ref="G47:H47"/>
    <mergeCell ref="B48:C48"/>
    <mergeCell ref="D48:F48"/>
    <mergeCell ref="G48:H48"/>
    <mergeCell ref="B49:C49"/>
    <mergeCell ref="B43:C43"/>
    <mergeCell ref="D43:F43"/>
    <mergeCell ref="G43:H43"/>
    <mergeCell ref="D44:F44"/>
    <mergeCell ref="G44:H44"/>
    <mergeCell ref="B44:C44"/>
    <mergeCell ref="B45:C45"/>
    <mergeCell ref="D45:F45"/>
    <mergeCell ref="G45:H45"/>
    <mergeCell ref="I39:R39"/>
    <mergeCell ref="S39:S42"/>
    <mergeCell ref="I40:P40"/>
    <mergeCell ref="Q40:R40"/>
    <mergeCell ref="I41:L41"/>
    <mergeCell ref="M41:P41"/>
    <mergeCell ref="Q41:Q42"/>
    <mergeCell ref="R41:R42"/>
    <mergeCell ref="C32:K32"/>
    <mergeCell ref="C33:K33"/>
    <mergeCell ref="L33:S33"/>
    <mergeCell ref="B35:S35"/>
    <mergeCell ref="B36:S36"/>
    <mergeCell ref="B38:S38"/>
    <mergeCell ref="B39:C42"/>
    <mergeCell ref="D39:F42"/>
    <mergeCell ref="G39:H42"/>
    <mergeCell ref="C67:H67"/>
    <mergeCell ref="B71:H73"/>
    <mergeCell ref="I71:J73"/>
    <mergeCell ref="C74:H74"/>
    <mergeCell ref="I74:J74"/>
    <mergeCell ref="C75:H75"/>
    <mergeCell ref="I75:J75"/>
    <mergeCell ref="C65:H65"/>
    <mergeCell ref="I65:J65"/>
    <mergeCell ref="C66:H66"/>
    <mergeCell ref="I66:J66"/>
    <mergeCell ref="I67:J67"/>
    <mergeCell ref="B57:C57"/>
    <mergeCell ref="D57:F57"/>
    <mergeCell ref="G57:H57"/>
    <mergeCell ref="B60:H62"/>
    <mergeCell ref="I60:J62"/>
    <mergeCell ref="C63:H63"/>
    <mergeCell ref="I63:J63"/>
    <mergeCell ref="C64:H64"/>
    <mergeCell ref="I64:J64"/>
    <mergeCell ref="D56:F56"/>
    <mergeCell ref="G56:H56"/>
    <mergeCell ref="B54:C54"/>
    <mergeCell ref="D54:F54"/>
    <mergeCell ref="G54:H54"/>
    <mergeCell ref="B55:C55"/>
    <mergeCell ref="D55:F55"/>
    <mergeCell ref="G55:H55"/>
    <mergeCell ref="B56:C56"/>
    <mergeCell ref="D52:F52"/>
    <mergeCell ref="G52:H52"/>
    <mergeCell ref="B50:C50"/>
    <mergeCell ref="D50:F50"/>
    <mergeCell ref="G50:H50"/>
    <mergeCell ref="B51:C51"/>
    <mergeCell ref="D51:F51"/>
    <mergeCell ref="G51:H51"/>
    <mergeCell ref="B52:C52"/>
  </mergeCells>
  <hyperlinks>
    <hyperlink ref="B2" location="null!A1" display="Back To CI_Template" xr:uid="{00000000-0004-0000-0300-000000000000}"/>
    <hyperlink ref="R13" r:id="rId1" xr:uid="{00000000-0004-0000-0300-000001000000}"/>
  </hyperlinks>
  <pageMargins left="0.7" right="0.7" top="0.75" bottom="0.75" header="0" footer="0"/>
  <pageSetup paperSize="9" orientation="portrait"/>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EIS</vt:lpstr>
      <vt:lpstr>Course_Index</vt:lpstr>
      <vt:lpstr>CI_Explanation</vt:lpstr>
      <vt:lpstr>Example_SHPP 2102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Amri</dc:creator>
  <cp:lastModifiedBy>Aryati Bakri</cp:lastModifiedBy>
  <dcterms:created xsi:type="dcterms:W3CDTF">2022-07-04T07:16:58Z</dcterms:created>
  <dcterms:modified xsi:type="dcterms:W3CDTF">2026-03-16T15:59:19Z</dcterms:modified>
</cp:coreProperties>
</file>